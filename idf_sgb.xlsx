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s\Projetos\IntensidadeMaximaRS\"/>
    </mc:Choice>
  </mc:AlternateContent>
  <xr:revisionPtr revIDLastSave="0" documentId="13_ncr:1_{EC2D5925-FF95-4634-A2E0-70F1B3880698}" xr6:coauthVersionLast="47" xr6:coauthVersionMax="47" xr10:uidLastSave="{00000000-0000-0000-0000-000000000000}"/>
  <bookViews>
    <workbookView xWindow="-108" yWindow="-108" windowWidth="23256" windowHeight="13176" xr2:uid="{7A234167-AFC9-45F9-9D64-3316784DAC3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66" i="1" l="1"/>
  <c r="R65" i="1"/>
  <c r="R64" i="1"/>
  <c r="S35" i="1" a="1"/>
  <c r="S35" i="1" s="1"/>
  <c r="R63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3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<sst xmlns="http://schemas.openxmlformats.org/spreadsheetml/2006/main" count="25" uniqueCount="24">
  <si>
    <t>quantis da gev</t>
  </si>
  <si>
    <t>tempo de retorno</t>
  </si>
  <si>
    <t>duração</t>
  </si>
  <si>
    <t>estação</t>
  </si>
  <si>
    <t>parâmetros da gev (lmom)</t>
  </si>
  <si>
    <t>frequências observadas da estação</t>
  </si>
  <si>
    <t>tr (anos)</t>
  </si>
  <si>
    <t>A801</t>
  </si>
  <si>
    <t>xi</t>
  </si>
  <si>
    <t>alpha</t>
  </si>
  <si>
    <t>kappa</t>
  </si>
  <si>
    <t>wateryear</t>
  </si>
  <si>
    <t>d</t>
  </si>
  <si>
    <t>imax</t>
  </si>
  <si>
    <t>p</t>
  </si>
  <si>
    <t>return_period</t>
  </si>
  <si>
    <t>estimativas iniciais dos parâmetros: k, lambda, theta, eta</t>
  </si>
  <si>
    <t>1. escolher ‘theta’ que melhor lineariza</t>
  </si>
  <si>
    <t>theta</t>
  </si>
  <si>
    <t>2. estimar 'eta'</t>
  </si>
  <si>
    <t>n.ds</t>
  </si>
  <si>
    <t>sum.ds</t>
  </si>
  <si>
    <t>sum.ds2</t>
  </si>
  <si>
    <t>sum.q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</si>
</sst>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Cascadia Code"/>
      <family val="2"/>
    </font>
    <font>
      <u/>
      <sz val="9"/>
      <color theme="1"/>
      <name val="Cascadia Co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Planilha1!$R$6:$R$29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Planilha1!$S$6:$S$29</c:f>
              <c:numCache>
                <c:formatCode>General</c:formatCode>
                <c:ptCount val="24"/>
                <c:pt idx="0">
                  <c:v>36.930994976931203</c:v>
                </c:pt>
                <c:pt idx="1">
                  <c:v>22.1909510635343</c:v>
                </c:pt>
                <c:pt idx="2">
                  <c:v>16.879053938420199</c:v>
                </c:pt>
                <c:pt idx="3">
                  <c:v>13.964177501363499</c:v>
                </c:pt>
                <c:pt idx="4">
                  <c:v>12.381314853842399</c:v>
                </c:pt>
                <c:pt idx="5">
                  <c:v>11.1050048259923</c:v>
                </c:pt>
                <c:pt idx="6">
                  <c:v>10.2318732497229</c:v>
                </c:pt>
                <c:pt idx="7">
                  <c:v>9.3869517845726307</c:v>
                </c:pt>
                <c:pt idx="8">
                  <c:v>8.9223887902808698</c:v>
                </c:pt>
                <c:pt idx="9">
                  <c:v>8.4036022631883398</c:v>
                </c:pt>
                <c:pt idx="10">
                  <c:v>7.9243623675995796</c:v>
                </c:pt>
                <c:pt idx="11">
                  <c:v>7.5705330329933798</c:v>
                </c:pt>
                <c:pt idx="12">
                  <c:v>7.2548939881217001</c:v>
                </c:pt>
                <c:pt idx="13">
                  <c:v>6.9095536339124797</c:v>
                </c:pt>
                <c:pt idx="14">
                  <c:v>6.5991891370568299</c:v>
                </c:pt>
                <c:pt idx="15">
                  <c:v>6.3557938863516101</c:v>
                </c:pt>
                <c:pt idx="16">
                  <c:v>6.1089545929974198</c:v>
                </c:pt>
                <c:pt idx="17">
                  <c:v>5.8685912389758998</c:v>
                </c:pt>
                <c:pt idx="18">
                  <c:v>5.63646698235699</c:v>
                </c:pt>
                <c:pt idx="19">
                  <c:v>5.4438516932093899</c:v>
                </c:pt>
                <c:pt idx="20">
                  <c:v>5.2733955308194798</c:v>
                </c:pt>
                <c:pt idx="21">
                  <c:v>5.1142412453716304</c:v>
                </c:pt>
                <c:pt idx="22">
                  <c:v>4.9677496761299</c:v>
                </c:pt>
                <c:pt idx="23">
                  <c:v>4.8615234801954896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26-4B23-8418-063F90D4268F}"/>
            </c:ext>
          </c:extLst>
        </c:ser>
        <c:ser>
          <c:idx val="1"/>
          <c:order val="1"/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Planilha1!$R$6:$R$29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Planilha1!$T$6:$T$29</c:f>
              <c:numCache>
                <c:formatCode>General</c:formatCode>
                <c:ptCount val="24"/>
                <c:pt idx="0">
                  <c:v>43.541447644363203</c:v>
                </c:pt>
                <c:pt idx="1">
                  <c:v>26.126357775223799</c:v>
                </c:pt>
                <c:pt idx="2">
                  <c:v>19.5015980018389</c:v>
                </c:pt>
                <c:pt idx="3">
                  <c:v>15.6840084187891</c:v>
                </c:pt>
                <c:pt idx="4">
                  <c:v>13.807780239088</c:v>
                </c:pt>
                <c:pt idx="5">
                  <c:v>12.442052558174201</c:v>
                </c:pt>
                <c:pt idx="6">
                  <c:v>11.5479078081653</c:v>
                </c:pt>
                <c:pt idx="7">
                  <c:v>10.6239044203256</c:v>
                </c:pt>
                <c:pt idx="8">
                  <c:v>9.9716634916798306</c:v>
                </c:pt>
                <c:pt idx="9">
                  <c:v>9.4215952006607804</c:v>
                </c:pt>
                <c:pt idx="10">
                  <c:v>8.9684846530107798</c:v>
                </c:pt>
                <c:pt idx="11">
                  <c:v>8.7185133198725708</c:v>
                </c:pt>
                <c:pt idx="12">
                  <c:v>8.3924480572500908</c:v>
                </c:pt>
                <c:pt idx="13">
                  <c:v>8.0737829221520006</c:v>
                </c:pt>
                <c:pt idx="14">
                  <c:v>7.80431829135415</c:v>
                </c:pt>
                <c:pt idx="15">
                  <c:v>7.53908885322695</c:v>
                </c:pt>
                <c:pt idx="16">
                  <c:v>7.2741466893667699</c:v>
                </c:pt>
                <c:pt idx="17">
                  <c:v>7.0284162631450702</c:v>
                </c:pt>
                <c:pt idx="18">
                  <c:v>6.7452251352386696</c:v>
                </c:pt>
                <c:pt idx="19">
                  <c:v>6.4858007925013101</c:v>
                </c:pt>
                <c:pt idx="20">
                  <c:v>6.2634606950285203</c:v>
                </c:pt>
                <c:pt idx="21">
                  <c:v>6.0590051943981997</c:v>
                </c:pt>
                <c:pt idx="22">
                  <c:v>5.8572534908474596</c:v>
                </c:pt>
                <c:pt idx="23">
                  <c:v>5.6897163813341702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26-4B23-8418-063F90D4268F}"/>
            </c:ext>
          </c:extLst>
        </c:ser>
        <c:ser>
          <c:idx val="2"/>
          <c:order val="2"/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Planilha1!$R$6:$R$29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Planilha1!$U$6:$U$29</c:f>
              <c:numCache>
                <c:formatCode>General</c:formatCode>
                <c:ptCount val="24"/>
                <c:pt idx="0">
                  <c:v>47.687474753042999</c:v>
                </c:pt>
                <c:pt idx="1">
                  <c:v>28.973131111242498</c:v>
                </c:pt>
                <c:pt idx="2">
                  <c:v>21.259073937388301</c:v>
                </c:pt>
                <c:pt idx="3">
                  <c:v>16.6401469049861</c:v>
                </c:pt>
                <c:pt idx="4">
                  <c:v>14.5299644171509</c:v>
                </c:pt>
                <c:pt idx="5">
                  <c:v>13.148154377227399</c:v>
                </c:pt>
                <c:pt idx="6">
                  <c:v>12.2352011396198</c:v>
                </c:pt>
                <c:pt idx="7">
                  <c:v>11.307436869385899</c:v>
                </c:pt>
                <c:pt idx="8">
                  <c:v>10.5129832941114</c:v>
                </c:pt>
                <c:pt idx="9">
                  <c:v>9.9567209909571606</c:v>
                </c:pt>
                <c:pt idx="10">
                  <c:v>9.54080721449475</c:v>
                </c:pt>
                <c:pt idx="11">
                  <c:v>9.3803310449993091</c:v>
                </c:pt>
                <c:pt idx="12">
                  <c:v>9.0434684583627796</c:v>
                </c:pt>
                <c:pt idx="13">
                  <c:v>8.7609729990674605</c:v>
                </c:pt>
                <c:pt idx="14">
                  <c:v>8.5569271154056796</c:v>
                </c:pt>
                <c:pt idx="15">
                  <c:v>8.2905400898282906</c:v>
                </c:pt>
                <c:pt idx="16">
                  <c:v>8.0197303149676493</c:v>
                </c:pt>
                <c:pt idx="17">
                  <c:v>7.7765064286917198</c:v>
                </c:pt>
                <c:pt idx="18">
                  <c:v>7.4507995806612204</c:v>
                </c:pt>
                <c:pt idx="19">
                  <c:v>7.1320565394551396</c:v>
                </c:pt>
                <c:pt idx="20">
                  <c:v>6.8663688396130098</c:v>
                </c:pt>
                <c:pt idx="21">
                  <c:v>6.6253311559867303</c:v>
                </c:pt>
                <c:pt idx="22">
                  <c:v>6.3756560447244901</c:v>
                </c:pt>
                <c:pt idx="23">
                  <c:v>6.1539639632945597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26-4B23-8418-063F90D4268F}"/>
            </c:ext>
          </c:extLst>
        </c:ser>
        <c:ser>
          <c:idx val="3"/>
          <c:order val="3"/>
          <c:spPr>
            <a:ln w="63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Planilha1!$R$6:$R$29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Planilha1!$V$6:$V$29</c:f>
              <c:numCache>
                <c:formatCode>General</c:formatCode>
                <c:ptCount val="24"/>
                <c:pt idx="0">
                  <c:v>51.500164122108899</c:v>
                </c:pt>
                <c:pt idx="1">
                  <c:v>31.899729708223902</c:v>
                </c:pt>
                <c:pt idx="2">
                  <c:v>22.960877893201101</c:v>
                </c:pt>
                <c:pt idx="3">
                  <c:v>17.440974242989999</c:v>
                </c:pt>
                <c:pt idx="4">
                  <c:v>15.0927846833121</c:v>
                </c:pt>
                <c:pt idx="5">
                  <c:v>13.7165921469936</c:v>
                </c:pt>
                <c:pt idx="6">
                  <c:v>12.7837676210452</c:v>
                </c:pt>
                <c:pt idx="7">
                  <c:v>11.877270071140501</c:v>
                </c:pt>
                <c:pt idx="8">
                  <c:v>10.9409973326295</c:v>
                </c:pt>
                <c:pt idx="9">
                  <c:v>10.385985623452999</c:v>
                </c:pt>
                <c:pt idx="10">
                  <c:v>10.014957465544599</c:v>
                </c:pt>
                <c:pt idx="11">
                  <c:v>9.9504233627986398</c:v>
                </c:pt>
                <c:pt idx="12">
                  <c:v>9.6010907465979294</c:v>
                </c:pt>
                <c:pt idx="13">
                  <c:v>9.3638224699855002</c:v>
                </c:pt>
                <c:pt idx="14">
                  <c:v>9.2467188027498892</c:v>
                </c:pt>
                <c:pt idx="15">
                  <c:v>8.9883021022124492</c:v>
                </c:pt>
                <c:pt idx="16">
                  <c:v>8.7161408479579308</c:v>
                </c:pt>
                <c:pt idx="17">
                  <c:v>8.4796115683832198</c:v>
                </c:pt>
                <c:pt idx="18">
                  <c:v>8.1070183018379804</c:v>
                </c:pt>
                <c:pt idx="19">
                  <c:v>7.72122291362159</c:v>
                </c:pt>
                <c:pt idx="20">
                  <c:v>7.40823587522019</c:v>
                </c:pt>
                <c:pt idx="21">
                  <c:v>7.1281327860322703</c:v>
                </c:pt>
                <c:pt idx="22">
                  <c:v>6.8259788456470902</c:v>
                </c:pt>
                <c:pt idx="23">
                  <c:v>6.5452865920008803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26-4B23-8418-063F90D4268F}"/>
            </c:ext>
          </c:extLst>
        </c:ser>
        <c:ser>
          <c:idx val="4"/>
          <c:order val="4"/>
          <c:spPr>
            <a:ln w="63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Planilha1!$R$6:$R$29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Planilha1!$W$6:$W$29</c:f>
              <c:numCache>
                <c:formatCode>General</c:formatCode>
                <c:ptCount val="24"/>
                <c:pt idx="0">
                  <c:v>53.623207151544101</c:v>
                </c:pt>
                <c:pt idx="1">
                  <c:v>33.675536377540901</c:v>
                </c:pt>
                <c:pt idx="2">
                  <c:v>23.9470359569968</c:v>
                </c:pt>
                <c:pt idx="3">
                  <c:v>17.8557323242498</c:v>
                </c:pt>
                <c:pt idx="4">
                  <c:v>15.3683539162706</c:v>
                </c:pt>
                <c:pt idx="5">
                  <c:v>14.0020507880501</c:v>
                </c:pt>
                <c:pt idx="6">
                  <c:v>13.0574090552828</c:v>
                </c:pt>
                <c:pt idx="7">
                  <c:v>12.1713226867515</c:v>
                </c:pt>
                <c:pt idx="8">
                  <c:v>11.1529430513944</c:v>
                </c:pt>
                <c:pt idx="9">
                  <c:v>10.600956490422799</c:v>
                </c:pt>
                <c:pt idx="10">
                  <c:v>10.2584478551071</c:v>
                </c:pt>
                <c:pt idx="11">
                  <c:v>10.2521911099221</c:v>
                </c:pt>
                <c:pt idx="12">
                  <c:v>9.8949615644640296</c:v>
                </c:pt>
                <c:pt idx="13">
                  <c:v>9.6874804208109992</c:v>
                </c:pt>
                <c:pt idx="14">
                  <c:v>9.6298287909151394</c:v>
                </c:pt>
                <c:pt idx="15">
                  <c:v>9.3797618003550092</c:v>
                </c:pt>
                <c:pt idx="16">
                  <c:v>9.1086275846392599</c:v>
                </c:pt>
                <c:pt idx="17">
                  <c:v>8.8777767670985401</c:v>
                </c:pt>
                <c:pt idx="18">
                  <c:v>8.4756296604281491</c:v>
                </c:pt>
                <c:pt idx="19">
                  <c:v>8.0470990689991204</c:v>
                </c:pt>
                <c:pt idx="20">
                  <c:v>7.7046607117031298</c:v>
                </c:pt>
                <c:pt idx="21">
                  <c:v>7.4005935547541704</c:v>
                </c:pt>
                <c:pt idx="22">
                  <c:v>7.0659089522937899</c:v>
                </c:pt>
                <c:pt idx="23">
                  <c:v>6.7489639416647798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026-4B23-8418-063F90D4268F}"/>
            </c:ext>
          </c:extLst>
        </c:ser>
        <c:ser>
          <c:idx val="5"/>
          <c:order val="5"/>
          <c:spPr>
            <a:ln w="63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Planilha1!$R$6:$R$29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Planilha1!$X$6:$X$29</c:f>
              <c:numCache>
                <c:formatCode>General</c:formatCode>
                <c:ptCount val="24"/>
                <c:pt idx="0">
                  <c:v>56.207148984437097</c:v>
                </c:pt>
                <c:pt idx="1">
                  <c:v>35.995128998807203</c:v>
                </c:pt>
                <c:pt idx="2">
                  <c:v>25.187180026893</c:v>
                </c:pt>
                <c:pt idx="3">
                  <c:v>18.331583083960101</c:v>
                </c:pt>
                <c:pt idx="4">
                  <c:v>15.6704718751251</c:v>
                </c:pt>
                <c:pt idx="5">
                  <c:v>14.321475720999601</c:v>
                </c:pt>
                <c:pt idx="6">
                  <c:v>13.361958290601301</c:v>
                </c:pt>
                <c:pt idx="7">
                  <c:v>12.5076949718643</c:v>
                </c:pt>
                <c:pt idx="8">
                  <c:v>11.3874347977572</c:v>
                </c:pt>
                <c:pt idx="9">
                  <c:v>10.8409671384153</c:v>
                </c:pt>
                <c:pt idx="10">
                  <c:v>10.535885155218301</c:v>
                </c:pt>
                <c:pt idx="11">
                  <c:v>10.6045981251134</c:v>
                </c:pt>
                <c:pt idx="12">
                  <c:v>10.236920249719599</c:v>
                </c:pt>
                <c:pt idx="13">
                  <c:v>10.069834231022201</c:v>
                </c:pt>
                <c:pt idx="14">
                  <c:v>10.0951247993941</c:v>
                </c:pt>
                <c:pt idx="15">
                  <c:v>9.85913550960462</c:v>
                </c:pt>
                <c:pt idx="16">
                  <c:v>9.5910578894535501</c:v>
                </c:pt>
                <c:pt idx="17">
                  <c:v>9.3691155739271199</c:v>
                </c:pt>
                <c:pt idx="18">
                  <c:v>8.9274841270959406</c:v>
                </c:pt>
                <c:pt idx="19">
                  <c:v>8.4415504027220702</c:v>
                </c:pt>
                <c:pt idx="20">
                  <c:v>8.0602415331638593</c:v>
                </c:pt>
                <c:pt idx="21">
                  <c:v>7.7249100444250498</c:v>
                </c:pt>
                <c:pt idx="22">
                  <c:v>7.3475930481022198</c:v>
                </c:pt>
                <c:pt idx="23">
                  <c:v>6.9835840667994704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026-4B23-8418-063F90D4268F}"/>
            </c:ext>
          </c:extLst>
        </c:ser>
        <c:ser>
          <c:idx val="6"/>
          <c:order val="6"/>
          <c:spPr>
            <a:ln w="63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Planilha1!$R$6:$R$29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Planilha1!$Y$6:$Y$29</c:f>
              <c:numCache>
                <c:formatCode>General</c:formatCode>
                <c:ptCount val="24"/>
                <c:pt idx="0">
                  <c:v>57.860020858035803</c:v>
                </c:pt>
                <c:pt idx="1">
                  <c:v>37.578469169141002</c:v>
                </c:pt>
                <c:pt idx="2">
                  <c:v>26.004712335095601</c:v>
                </c:pt>
                <c:pt idx="3">
                  <c:v>18.619788422476301</c:v>
                </c:pt>
                <c:pt idx="4">
                  <c:v>15.845884345314101</c:v>
                </c:pt>
                <c:pt idx="5">
                  <c:v>14.510501313254199</c:v>
                </c:pt>
                <c:pt idx="6">
                  <c:v>13.541275902285999</c:v>
                </c:pt>
                <c:pt idx="7">
                  <c:v>12.7108665796535</c:v>
                </c:pt>
                <c:pt idx="8">
                  <c:v>11.524743477905</c:v>
                </c:pt>
                <c:pt idx="9">
                  <c:v>10.9827016432096</c:v>
                </c:pt>
                <c:pt idx="10">
                  <c:v>10.702847438875001</c:v>
                </c:pt>
                <c:pt idx="11">
                  <c:v>10.8215730292237</c:v>
                </c:pt>
                <c:pt idx="12">
                  <c:v>10.446765248827401</c:v>
                </c:pt>
                <c:pt idx="13">
                  <c:v>10.307773001387</c:v>
                </c:pt>
                <c:pt idx="14">
                  <c:v>10.3921812337273</c:v>
                </c:pt>
                <c:pt idx="15">
                  <c:v>10.1675154626999</c:v>
                </c:pt>
                <c:pt idx="16">
                  <c:v>9.9024744061772108</c:v>
                </c:pt>
                <c:pt idx="17">
                  <c:v>9.6874339132827707</c:v>
                </c:pt>
                <c:pt idx="18">
                  <c:v>9.2184342434945208</c:v>
                </c:pt>
                <c:pt idx="19">
                  <c:v>8.6925953026788996</c:v>
                </c:pt>
                <c:pt idx="20">
                  <c:v>8.2846710619198198</c:v>
                </c:pt>
                <c:pt idx="21">
                  <c:v>7.9281491662833501</c:v>
                </c:pt>
                <c:pt idx="22">
                  <c:v>7.5218789426754302</c:v>
                </c:pt>
                <c:pt idx="23">
                  <c:v>7.1262159699538001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026-4B23-8418-063F90D4268F}"/>
            </c:ext>
          </c:extLst>
        </c:ser>
        <c:ser>
          <c:idx val="7"/>
          <c:order val="7"/>
          <c:spPr>
            <a:ln w="63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Planilha1!$R$6:$R$29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Planilha1!$Z$6:$Z$29</c:f>
              <c:numCache>
                <c:formatCode>General</c:formatCode>
                <c:ptCount val="24"/>
                <c:pt idx="0">
                  <c:v>59.071073971008801</c:v>
                </c:pt>
                <c:pt idx="1">
                  <c:v>38.791850072530004</c:v>
                </c:pt>
                <c:pt idx="2">
                  <c:v>26.616306026402</c:v>
                </c:pt>
                <c:pt idx="3">
                  <c:v>18.8231456330006</c:v>
                </c:pt>
                <c:pt idx="4">
                  <c:v>15.966106079104801</c:v>
                </c:pt>
                <c:pt idx="5">
                  <c:v>14.641761962844599</c:v>
                </c:pt>
                <c:pt idx="6">
                  <c:v>13.665364385405701</c:v>
                </c:pt>
                <c:pt idx="7">
                  <c:v>12.8539540397524</c:v>
                </c:pt>
                <c:pt idx="8">
                  <c:v>11.6194015724066</c:v>
                </c:pt>
                <c:pt idx="9">
                  <c:v>11.0809816517681</c:v>
                </c:pt>
                <c:pt idx="10">
                  <c:v>10.820137665217</c:v>
                </c:pt>
                <c:pt idx="11">
                  <c:v>10.976413615884701</c:v>
                </c:pt>
                <c:pt idx="12">
                  <c:v>10.59617571641</c:v>
                </c:pt>
                <c:pt idx="13">
                  <c:v>10.4788285427564</c:v>
                </c:pt>
                <c:pt idx="14">
                  <c:v>10.6095405475586</c:v>
                </c:pt>
                <c:pt idx="15">
                  <c:v>10.3943482428216</c:v>
                </c:pt>
                <c:pt idx="16">
                  <c:v>10.1320860908433</c:v>
                </c:pt>
                <c:pt idx="17">
                  <c:v>9.9227225489065702</c:v>
                </c:pt>
                <c:pt idx="18">
                  <c:v>9.4325852003951791</c:v>
                </c:pt>
                <c:pt idx="19">
                  <c:v>8.8758932006082603</c:v>
                </c:pt>
                <c:pt idx="20">
                  <c:v>8.4475968505769305</c:v>
                </c:pt>
                <c:pt idx="21">
                  <c:v>8.0749658933173496</c:v>
                </c:pt>
                <c:pt idx="22">
                  <c:v>7.6466775863060397</c:v>
                </c:pt>
                <c:pt idx="23">
                  <c:v>7.2271159009140202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026-4B23-8418-063F90D4268F}"/>
            </c:ext>
          </c:extLst>
        </c:ser>
        <c:ser>
          <c:idx val="8"/>
          <c:order val="8"/>
          <c:spPr>
            <a:ln w="63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Planilha1!$R$6:$R$29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Planilha1!$AA$6:$AA$29</c:f>
              <c:numCache>
                <c:formatCode>General</c:formatCode>
                <c:ptCount val="24"/>
                <c:pt idx="0">
                  <c:v>59.573058506218999</c:v>
                </c:pt>
                <c:pt idx="1">
                  <c:v>39.308665611289499</c:v>
                </c:pt>
                <c:pt idx="2">
                  <c:v>26.873028969433602</c:v>
                </c:pt>
                <c:pt idx="3">
                  <c:v>18.9055326932437</c:v>
                </c:pt>
                <c:pt idx="4">
                  <c:v>16.0139591146798</c:v>
                </c:pt>
                <c:pt idx="5">
                  <c:v>14.6944264955447</c:v>
                </c:pt>
                <c:pt idx="6">
                  <c:v>13.715046590848701</c:v>
                </c:pt>
                <c:pt idx="7">
                  <c:v>12.9118574146562</c:v>
                </c:pt>
                <c:pt idx="8">
                  <c:v>11.657213225718801</c:v>
                </c:pt>
                <c:pt idx="9">
                  <c:v>11.120379245217499</c:v>
                </c:pt>
                <c:pt idx="10">
                  <c:v>10.867529044770301</c:v>
                </c:pt>
                <c:pt idx="11">
                  <c:v>11.0395774704094</c:v>
                </c:pt>
                <c:pt idx="12">
                  <c:v>10.6570399812434</c:v>
                </c:pt>
                <c:pt idx="13">
                  <c:v>10.5489192206993</c:v>
                </c:pt>
                <c:pt idx="14">
                  <c:v>10.6995630209592</c:v>
                </c:pt>
                <c:pt idx="15">
                  <c:v>10.4885937852195</c:v>
                </c:pt>
                <c:pt idx="16">
                  <c:v>10.227623813117599</c:v>
                </c:pt>
                <c:pt idx="17">
                  <c:v>10.020770967054</c:v>
                </c:pt>
                <c:pt idx="18">
                  <c:v>9.5215966408226098</c:v>
                </c:pt>
                <c:pt idx="19">
                  <c:v>8.9517098192139795</c:v>
                </c:pt>
                <c:pt idx="20">
                  <c:v>8.5147526000819305</c:v>
                </c:pt>
                <c:pt idx="21">
                  <c:v>8.1353010082397592</c:v>
                </c:pt>
                <c:pt idx="22">
                  <c:v>7.6976913015447401</c:v>
                </c:pt>
                <c:pt idx="23">
                  <c:v>7.2680578055608001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026-4B23-8418-063F90D4268F}"/>
            </c:ext>
          </c:extLst>
        </c:ser>
        <c:ser>
          <c:idx val="9"/>
          <c:order val="9"/>
          <c:spPr>
            <a:ln w="63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Planilha1!$R$6:$R$29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Planilha1!$AB$6:$AB$29</c:f>
              <c:numCache>
                <c:formatCode>General</c:formatCode>
                <c:ptCount val="24"/>
                <c:pt idx="0">
                  <c:v>61.4744544528508</c:v>
                </c:pt>
                <c:pt idx="1">
                  <c:v>41.3439666753412</c:v>
                </c:pt>
                <c:pt idx="2">
                  <c:v>27.863088526426999</c:v>
                </c:pt>
                <c:pt idx="3">
                  <c:v>19.207649243296199</c:v>
                </c:pt>
                <c:pt idx="4">
                  <c:v>16.185135752318601</c:v>
                </c:pt>
                <c:pt idx="5">
                  <c:v>14.884929039983</c:v>
                </c:pt>
                <c:pt idx="6">
                  <c:v>13.8942308493277</c:v>
                </c:pt>
                <c:pt idx="7">
                  <c:v>13.123848947139599</c:v>
                </c:pt>
                <c:pt idx="8">
                  <c:v>11.793144687882499</c:v>
                </c:pt>
                <c:pt idx="9">
                  <c:v>11.262716893247299</c:v>
                </c:pt>
                <c:pt idx="10">
                  <c:v>11.0406610181219</c:v>
                </c:pt>
                <c:pt idx="11">
                  <c:v>11.2734604862813</c:v>
                </c:pt>
                <c:pt idx="12">
                  <c:v>10.8819665066043</c:v>
                </c:pt>
                <c:pt idx="13">
                  <c:v>10.8100965444143</c:v>
                </c:pt>
                <c:pt idx="14">
                  <c:v>11.0401504532588</c:v>
                </c:pt>
                <c:pt idx="15">
                  <c:v>10.8467785332278</c:v>
                </c:pt>
                <c:pt idx="16">
                  <c:v>10.591466262777301</c:v>
                </c:pt>
                <c:pt idx="17">
                  <c:v>10.39498381131</c:v>
                </c:pt>
                <c:pt idx="18">
                  <c:v>9.8600786047815401</c:v>
                </c:pt>
                <c:pt idx="19">
                  <c:v>9.2380202208416602</c:v>
                </c:pt>
                <c:pt idx="20">
                  <c:v>8.7671033349234708</c:v>
                </c:pt>
                <c:pt idx="21">
                  <c:v>8.3610615139014808</c:v>
                </c:pt>
                <c:pt idx="22">
                  <c:v>7.8871352948395304</c:v>
                </c:pt>
                <c:pt idx="23">
                  <c:v>7.4185242308292203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026-4B23-8418-063F90D4268F}"/>
            </c:ext>
          </c:extLst>
        </c:ser>
        <c:ser>
          <c:idx val="10"/>
          <c:order val="10"/>
          <c:spPr>
            <a:ln w="63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Planilha1!$R$6:$R$29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Planilha1!$AC$6:$AC$29</c:f>
              <c:numCache>
                <c:formatCode>General</c:formatCode>
                <c:ptCount val="24"/>
                <c:pt idx="0">
                  <c:v>62.795226914038402</c:v>
                </c:pt>
                <c:pt idx="1">
                  <c:v>42.834301815080401</c:v>
                </c:pt>
                <c:pt idx="2">
                  <c:v>28.567828380408599</c:v>
                </c:pt>
                <c:pt idx="3">
                  <c:v>19.408417297431399</c:v>
                </c:pt>
                <c:pt idx="4">
                  <c:v>16.295063122388498</c:v>
                </c:pt>
                <c:pt idx="5">
                  <c:v>15.0091675315008</c:v>
                </c:pt>
                <c:pt idx="6">
                  <c:v>14.0106125726633</c:v>
                </c:pt>
                <c:pt idx="7">
                  <c:v>13.264413463978</c:v>
                </c:pt>
                <c:pt idx="8">
                  <c:v>11.881040005913601</c:v>
                </c:pt>
                <c:pt idx="9">
                  <c:v>11.3553872674219</c:v>
                </c:pt>
                <c:pt idx="10">
                  <c:v>11.155119211735601</c:v>
                </c:pt>
                <c:pt idx="11">
                  <c:v>11.430967514418199</c:v>
                </c:pt>
                <c:pt idx="12">
                  <c:v>11.033035311975301</c:v>
                </c:pt>
                <c:pt idx="13">
                  <c:v>10.987513022714699</c:v>
                </c:pt>
                <c:pt idx="14">
                  <c:v>11.2763598005579</c:v>
                </c:pt>
                <c:pt idx="15">
                  <c:v>11.096729429601501</c:v>
                </c:pt>
                <c:pt idx="16">
                  <c:v>10.846075487962</c:v>
                </c:pt>
                <c:pt idx="17">
                  <c:v>10.6576210674001</c:v>
                </c:pt>
                <c:pt idx="18">
                  <c:v>10.0964604991655</c:v>
                </c:pt>
                <c:pt idx="19">
                  <c:v>9.4360858503803406</c:v>
                </c:pt>
                <c:pt idx="20">
                  <c:v>8.9405010643751108</c:v>
                </c:pt>
                <c:pt idx="21">
                  <c:v>8.5152919593422407</c:v>
                </c:pt>
                <c:pt idx="22">
                  <c:v>8.0152245444342594</c:v>
                </c:pt>
                <c:pt idx="23">
                  <c:v>7.5188176609747703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026-4B23-8418-063F90D42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9368527"/>
        <c:axId val="1002970991"/>
      </c:scatterChart>
      <c:valAx>
        <c:axId val="158936852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2970991"/>
        <c:crosses val="autoZero"/>
        <c:crossBetween val="midCat"/>
      </c:valAx>
      <c:valAx>
        <c:axId val="100297099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9368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Planilha1!$R$35:$R$58</c:f>
              <c:numCache>
                <c:formatCode>General</c:formatCode>
                <c:ptCount val="24"/>
                <c:pt idx="0">
                  <c:v>0</c:v>
                </c:pt>
                <c:pt idx="1">
                  <c:v>0.3010299956639812</c:v>
                </c:pt>
                <c:pt idx="2">
                  <c:v>0.47712125471966244</c:v>
                </c:pt>
                <c:pt idx="3">
                  <c:v>0.6020599913279624</c:v>
                </c:pt>
                <c:pt idx="4">
                  <c:v>0.69897000433601886</c:v>
                </c:pt>
                <c:pt idx="5">
                  <c:v>0.77815125038364363</c:v>
                </c:pt>
                <c:pt idx="6">
                  <c:v>0.84509804001425681</c:v>
                </c:pt>
                <c:pt idx="7">
                  <c:v>0.90308998699194354</c:v>
                </c:pt>
                <c:pt idx="8">
                  <c:v>0.95424250943932487</c:v>
                </c:pt>
                <c:pt idx="9">
                  <c:v>1</c:v>
                </c:pt>
                <c:pt idx="10">
                  <c:v>1.0413926851582251</c:v>
                </c:pt>
                <c:pt idx="11">
                  <c:v>1.0791812460476249</c:v>
                </c:pt>
                <c:pt idx="12">
                  <c:v>1.1139433523068367</c:v>
                </c:pt>
                <c:pt idx="13">
                  <c:v>1.146128035678238</c:v>
                </c:pt>
                <c:pt idx="14">
                  <c:v>1.1760912590556813</c:v>
                </c:pt>
                <c:pt idx="15">
                  <c:v>1.2041199826559248</c:v>
                </c:pt>
                <c:pt idx="16">
                  <c:v>1.2304489213782739</c:v>
                </c:pt>
                <c:pt idx="17">
                  <c:v>1.255272505103306</c:v>
                </c:pt>
                <c:pt idx="18">
                  <c:v>1.2787536009528289</c:v>
                </c:pt>
                <c:pt idx="19">
                  <c:v>1.3010299956639813</c:v>
                </c:pt>
                <c:pt idx="20">
                  <c:v>1.3222192947339193</c:v>
                </c:pt>
                <c:pt idx="21">
                  <c:v>1.3424226808222062</c:v>
                </c:pt>
                <c:pt idx="22">
                  <c:v>1.3617278360175928</c:v>
                </c:pt>
                <c:pt idx="23">
                  <c:v>1.3802112417116059</c:v>
                </c:pt>
              </c:numCache>
            </c:numRef>
          </c:xVal>
          <c:yVal>
            <c:numRef>
              <c:f>Planilha1!$S$35:$S$58</c:f>
              <c:numCache>
                <c:formatCode>General</c:formatCode>
                <c:ptCount val="24"/>
                <c:pt idx="0">
                  <c:v>1.5673910083596141</c:v>
                </c:pt>
                <c:pt idx="1">
                  <c:v>1.3461759156972475</c:v>
                </c:pt>
                <c:pt idx="2">
                  <c:v>1.2273481010077683</c:v>
                </c:pt>
                <c:pt idx="3">
                  <c:v>1.1450153605784601</c:v>
                </c:pt>
                <c:pt idx="4">
                  <c:v>1.0927667677411477</c:v>
                </c:pt>
                <c:pt idx="5">
                  <c:v>1.0455187516194202</c:v>
                </c:pt>
                <c:pt idx="6">
                  <c:v>1.00995515155593</c:v>
                </c:pt>
                <c:pt idx="7">
                  <c:v>0.97252458714807299</c:v>
                </c:pt>
                <c:pt idx="8">
                  <c:v>0.95048114356315949</c:v>
                </c:pt>
                <c:pt idx="9">
                  <c:v>0.92446548935621364</c:v>
                </c:pt>
                <c:pt idx="10">
                  <c:v>0.89896432686785155</c:v>
                </c:pt>
                <c:pt idx="11">
                  <c:v>0.87912645877852857</c:v>
                </c:pt>
                <c:pt idx="12">
                  <c:v>0.86063107070757383</c:v>
                </c:pt>
                <c:pt idx="13">
                  <c:v>0.83944999229602124</c:v>
                </c:pt>
                <c:pt idx="14">
                  <c:v>0.81949057570308081</c:v>
                </c:pt>
                <c:pt idx="15">
                  <c:v>0.80316980491804157</c:v>
                </c:pt>
                <c:pt idx="16">
                  <c:v>0.78596689709404122</c:v>
                </c:pt>
                <c:pt idx="17">
                  <c:v>0.76853386094661602</c:v>
                </c:pt>
                <c:pt idx="18">
                  <c:v>0.75100696730801075</c:v>
                </c:pt>
                <c:pt idx="19">
                  <c:v>0.73590628521275792</c:v>
                </c:pt>
                <c:pt idx="20">
                  <c:v>0.72209034679327022</c:v>
                </c:pt>
                <c:pt idx="21">
                  <c:v>0.70878121040571374</c:v>
                </c:pt>
                <c:pt idx="22">
                  <c:v>0.69615970371150449</c:v>
                </c:pt>
                <c:pt idx="23">
                  <c:v>0.68677238764928372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63-4AB3-A4A5-5D1E4A4B129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Planilha1!$R$35:$R$58</c:f>
              <c:numCache>
                <c:formatCode>General</c:formatCode>
                <c:ptCount val="24"/>
                <c:pt idx="0">
                  <c:v>0</c:v>
                </c:pt>
                <c:pt idx="1">
                  <c:v>0.3010299956639812</c:v>
                </c:pt>
                <c:pt idx="2">
                  <c:v>0.47712125471966244</c:v>
                </c:pt>
                <c:pt idx="3">
                  <c:v>0.6020599913279624</c:v>
                </c:pt>
                <c:pt idx="4">
                  <c:v>0.69897000433601886</c:v>
                </c:pt>
                <c:pt idx="5">
                  <c:v>0.77815125038364363</c:v>
                </c:pt>
                <c:pt idx="6">
                  <c:v>0.84509804001425681</c:v>
                </c:pt>
                <c:pt idx="7">
                  <c:v>0.90308998699194354</c:v>
                </c:pt>
                <c:pt idx="8">
                  <c:v>0.95424250943932487</c:v>
                </c:pt>
                <c:pt idx="9">
                  <c:v>1</c:v>
                </c:pt>
                <c:pt idx="10">
                  <c:v>1.0413926851582251</c:v>
                </c:pt>
                <c:pt idx="11">
                  <c:v>1.0791812460476249</c:v>
                </c:pt>
                <c:pt idx="12">
                  <c:v>1.1139433523068367</c:v>
                </c:pt>
                <c:pt idx="13">
                  <c:v>1.146128035678238</c:v>
                </c:pt>
                <c:pt idx="14">
                  <c:v>1.1760912590556813</c:v>
                </c:pt>
                <c:pt idx="15">
                  <c:v>1.2041199826559248</c:v>
                </c:pt>
                <c:pt idx="16">
                  <c:v>1.2304489213782739</c:v>
                </c:pt>
                <c:pt idx="17">
                  <c:v>1.255272505103306</c:v>
                </c:pt>
                <c:pt idx="18">
                  <c:v>1.2787536009528289</c:v>
                </c:pt>
                <c:pt idx="19">
                  <c:v>1.3010299956639813</c:v>
                </c:pt>
                <c:pt idx="20">
                  <c:v>1.3222192947339193</c:v>
                </c:pt>
                <c:pt idx="21">
                  <c:v>1.3424226808222062</c:v>
                </c:pt>
                <c:pt idx="22">
                  <c:v>1.3617278360175928</c:v>
                </c:pt>
                <c:pt idx="23">
                  <c:v>1.3802112417116059</c:v>
                </c:pt>
              </c:numCache>
            </c:numRef>
          </c:xVal>
          <c:yVal>
            <c:numRef>
              <c:f>Planilha1!$T$35:$T$58</c:f>
              <c:numCache>
                <c:formatCode>General</c:formatCode>
                <c:ptCount val="24"/>
                <c:pt idx="0">
                  <c:v>1.638902864151726</c:v>
                </c:pt>
                <c:pt idx="1">
                  <c:v>1.417078869797179</c:v>
                </c:pt>
                <c:pt idx="2">
                  <c:v>1.2900701998212811</c:v>
                </c:pt>
                <c:pt idx="3">
                  <c:v>1.1954570667468041</c:v>
                </c:pt>
                <c:pt idx="4">
                  <c:v>1.1401238663121163</c:v>
                </c:pt>
                <c:pt idx="5">
                  <c:v>1.0948920315731854</c:v>
                </c:pt>
                <c:pt idx="6">
                  <c:v>1.0625033080658957</c:v>
                </c:pt>
                <c:pt idx="7">
                  <c:v>1.02628415484097</c:v>
                </c:pt>
                <c:pt idx="8">
                  <c:v>0.998767614178662</c:v>
                </c:pt>
                <c:pt idx="9">
                  <c:v>0.97412444081752791</c:v>
                </c:pt>
                <c:pt idx="10">
                  <c:v>0.95271906930602202</c:v>
                </c:pt>
                <c:pt idx="11">
                  <c:v>0.94044243538884542</c:v>
                </c:pt>
                <c:pt idx="12">
                  <c:v>0.92388866198207331</c:v>
                </c:pt>
                <c:pt idx="13">
                  <c:v>0.90707706846060943</c:v>
                </c:pt>
                <c:pt idx="14">
                  <c:v>0.89233497335188539</c:v>
                </c:pt>
                <c:pt idx="15">
                  <c:v>0.87731886179463225</c:v>
                </c:pt>
                <c:pt idx="16">
                  <c:v>0.86178205472531821</c:v>
                </c:pt>
                <c:pt idx="17">
                  <c:v>0.8468574749964759</c:v>
                </c:pt>
                <c:pt idx="18">
                  <c:v>0.82899644968770081</c:v>
                </c:pt>
                <c:pt idx="19">
                  <c:v>0.81196360544610524</c:v>
                </c:pt>
                <c:pt idx="20">
                  <c:v>0.7968143564483019</c:v>
                </c:pt>
                <c:pt idx="21">
                  <c:v>0.78240132481828384</c:v>
                </c:pt>
                <c:pt idx="22">
                  <c:v>0.76769401987805286</c:v>
                </c:pt>
                <c:pt idx="23">
                  <c:v>0.75509061840008918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63-4AB3-A4A5-5D1E4A4B129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Planilha1!$R$35:$R$58</c:f>
              <c:numCache>
                <c:formatCode>General</c:formatCode>
                <c:ptCount val="24"/>
                <c:pt idx="0">
                  <c:v>0</c:v>
                </c:pt>
                <c:pt idx="1">
                  <c:v>0.3010299956639812</c:v>
                </c:pt>
                <c:pt idx="2">
                  <c:v>0.47712125471966244</c:v>
                </c:pt>
                <c:pt idx="3">
                  <c:v>0.6020599913279624</c:v>
                </c:pt>
                <c:pt idx="4">
                  <c:v>0.69897000433601886</c:v>
                </c:pt>
                <c:pt idx="5">
                  <c:v>0.77815125038364363</c:v>
                </c:pt>
                <c:pt idx="6">
                  <c:v>0.84509804001425681</c:v>
                </c:pt>
                <c:pt idx="7">
                  <c:v>0.90308998699194354</c:v>
                </c:pt>
                <c:pt idx="8">
                  <c:v>0.95424250943932487</c:v>
                </c:pt>
                <c:pt idx="9">
                  <c:v>1</c:v>
                </c:pt>
                <c:pt idx="10">
                  <c:v>1.0413926851582251</c:v>
                </c:pt>
                <c:pt idx="11">
                  <c:v>1.0791812460476249</c:v>
                </c:pt>
                <c:pt idx="12">
                  <c:v>1.1139433523068367</c:v>
                </c:pt>
                <c:pt idx="13">
                  <c:v>1.146128035678238</c:v>
                </c:pt>
                <c:pt idx="14">
                  <c:v>1.1760912590556813</c:v>
                </c:pt>
                <c:pt idx="15">
                  <c:v>1.2041199826559248</c:v>
                </c:pt>
                <c:pt idx="16">
                  <c:v>1.2304489213782739</c:v>
                </c:pt>
                <c:pt idx="17">
                  <c:v>1.255272505103306</c:v>
                </c:pt>
                <c:pt idx="18">
                  <c:v>1.2787536009528289</c:v>
                </c:pt>
                <c:pt idx="19">
                  <c:v>1.3010299956639813</c:v>
                </c:pt>
                <c:pt idx="20">
                  <c:v>1.3222192947339193</c:v>
                </c:pt>
                <c:pt idx="21">
                  <c:v>1.3424226808222062</c:v>
                </c:pt>
                <c:pt idx="22">
                  <c:v>1.3617278360175928</c:v>
                </c:pt>
                <c:pt idx="23">
                  <c:v>1.3802112417116059</c:v>
                </c:pt>
              </c:numCache>
            </c:numRef>
          </c:xVal>
          <c:yVal>
            <c:numRef>
              <c:f>Planilha1!$U$35:$U$58</c:f>
              <c:numCache>
                <c:formatCode>General</c:formatCode>
                <c:ptCount val="24"/>
                <c:pt idx="0">
                  <c:v>1.6784043253725176</c:v>
                </c:pt>
                <c:pt idx="1">
                  <c:v>1.4619954317192758</c:v>
                </c:pt>
                <c:pt idx="2">
                  <c:v>1.3275443423772233</c:v>
                </c:pt>
                <c:pt idx="3">
                  <c:v>1.2211571560738879</c:v>
                </c:pt>
                <c:pt idx="4">
                  <c:v>1.1622645507430363</c:v>
                </c:pt>
                <c:pt idx="5">
                  <c:v>1.1188647946478274</c:v>
                </c:pt>
                <c:pt idx="6">
                  <c:v>1.0876111132962218</c:v>
                </c:pt>
                <c:pt idx="7">
                  <c:v>1.0533641717127713</c:v>
                </c:pt>
                <c:pt idx="8">
                  <c:v>1.0217259742890747</c:v>
                </c:pt>
                <c:pt idx="9">
                  <c:v>0.99811633741997641</c:v>
                </c:pt>
                <c:pt idx="10">
                  <c:v>0.97958512040327339</c:v>
                </c:pt>
                <c:pt idx="11">
                  <c:v>0.97221816550907425</c:v>
                </c:pt>
                <c:pt idx="12">
                  <c:v>0.95633502819964467</c:v>
                </c:pt>
                <c:pt idx="13">
                  <c:v>0.94255234185982595</c:v>
                </c:pt>
                <c:pt idx="14">
                  <c:v>0.93231783285268754</c:v>
                </c:pt>
                <c:pt idx="15">
                  <c:v>0.91858282372178313</c:v>
                </c:pt>
                <c:pt idx="16">
                  <c:v>0.90415976420802091</c:v>
                </c:pt>
                <c:pt idx="17">
                  <c:v>0.89078453535759528</c:v>
                </c:pt>
                <c:pt idx="18">
                  <c:v>0.87220288145106184</c:v>
                </c:pt>
                <c:pt idx="19">
                  <c:v>0.85321477739115315</c:v>
                </c:pt>
                <c:pt idx="20">
                  <c:v>0.83672712864205356</c:v>
                </c:pt>
                <c:pt idx="21">
                  <c:v>0.82120759062746373</c:v>
                </c:pt>
                <c:pt idx="22">
                  <c:v>0.80452487960709007</c:v>
                </c:pt>
                <c:pt idx="23">
                  <c:v>0.78915494875444547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63-4AB3-A4A5-5D1E4A4B129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Planilha1!$R$35:$R$58</c:f>
              <c:numCache>
                <c:formatCode>General</c:formatCode>
                <c:ptCount val="24"/>
                <c:pt idx="0">
                  <c:v>0</c:v>
                </c:pt>
                <c:pt idx="1">
                  <c:v>0.3010299956639812</c:v>
                </c:pt>
                <c:pt idx="2">
                  <c:v>0.47712125471966244</c:v>
                </c:pt>
                <c:pt idx="3">
                  <c:v>0.6020599913279624</c:v>
                </c:pt>
                <c:pt idx="4">
                  <c:v>0.69897000433601886</c:v>
                </c:pt>
                <c:pt idx="5">
                  <c:v>0.77815125038364363</c:v>
                </c:pt>
                <c:pt idx="6">
                  <c:v>0.84509804001425681</c:v>
                </c:pt>
                <c:pt idx="7">
                  <c:v>0.90308998699194354</c:v>
                </c:pt>
                <c:pt idx="8">
                  <c:v>0.95424250943932487</c:v>
                </c:pt>
                <c:pt idx="9">
                  <c:v>1</c:v>
                </c:pt>
                <c:pt idx="10">
                  <c:v>1.0413926851582251</c:v>
                </c:pt>
                <c:pt idx="11">
                  <c:v>1.0791812460476249</c:v>
                </c:pt>
                <c:pt idx="12">
                  <c:v>1.1139433523068367</c:v>
                </c:pt>
                <c:pt idx="13">
                  <c:v>1.146128035678238</c:v>
                </c:pt>
                <c:pt idx="14">
                  <c:v>1.1760912590556813</c:v>
                </c:pt>
                <c:pt idx="15">
                  <c:v>1.2041199826559248</c:v>
                </c:pt>
                <c:pt idx="16">
                  <c:v>1.2304489213782739</c:v>
                </c:pt>
                <c:pt idx="17">
                  <c:v>1.255272505103306</c:v>
                </c:pt>
                <c:pt idx="18">
                  <c:v>1.2787536009528289</c:v>
                </c:pt>
                <c:pt idx="19">
                  <c:v>1.3010299956639813</c:v>
                </c:pt>
                <c:pt idx="20">
                  <c:v>1.3222192947339193</c:v>
                </c:pt>
                <c:pt idx="21">
                  <c:v>1.3424226808222062</c:v>
                </c:pt>
                <c:pt idx="22">
                  <c:v>1.3617278360175928</c:v>
                </c:pt>
                <c:pt idx="23">
                  <c:v>1.3802112417116059</c:v>
                </c:pt>
              </c:numCache>
            </c:numRef>
          </c:xVal>
          <c:yVal>
            <c:numRef>
              <c:f>Planilha1!$V$35:$V$58</c:f>
              <c:numCache>
                <c:formatCode>General</c:formatCode>
                <c:ptCount val="24"/>
                <c:pt idx="0">
                  <c:v>1.7118086130647381</c:v>
                </c:pt>
                <c:pt idx="1">
                  <c:v>1.5037870032225673</c:v>
                </c:pt>
                <c:pt idx="2">
                  <c:v>1.3609884889909254</c:v>
                </c:pt>
                <c:pt idx="3">
                  <c:v>1.241570740719087</c:v>
                </c:pt>
                <c:pt idx="4">
                  <c:v>1.1787693763575795</c:v>
                </c:pt>
                <c:pt idx="5">
                  <c:v>1.1372462253945519</c:v>
                </c:pt>
                <c:pt idx="6">
                  <c:v>1.1066588675851361</c:v>
                </c:pt>
                <c:pt idx="7">
                  <c:v>1.0747166317831853</c:v>
                </c:pt>
                <c:pt idx="8">
                  <c:v>1.0390569121542343</c:v>
                </c:pt>
                <c:pt idx="9">
                  <c:v>1.0164477170979214</c:v>
                </c:pt>
                <c:pt idx="10">
                  <c:v>1.0006491091444729</c:v>
                </c:pt>
                <c:pt idx="11">
                  <c:v>0.997841559159372</c:v>
                </c:pt>
                <c:pt idx="12">
                  <c:v>0.98232057453119481</c:v>
                </c:pt>
                <c:pt idx="13">
                  <c:v>0.97145317125306363</c:v>
                </c:pt>
                <c:pt idx="14">
                  <c:v>0.96598765072157822</c:v>
                </c:pt>
                <c:pt idx="15">
                  <c:v>0.95367766088982997</c:v>
                </c:pt>
                <c:pt idx="16">
                  <c:v>0.9403242395866872</c:v>
                </c:pt>
                <c:pt idx="17">
                  <c:v>0.92837595867517586</c:v>
                </c:pt>
                <c:pt idx="18">
                  <c:v>0.90886115345125595</c:v>
                </c:pt>
                <c:pt idx="19">
                  <c:v>0.8876860908249069</c:v>
                </c:pt>
                <c:pt idx="20">
                  <c:v>0.86971480165386117</c:v>
                </c:pt>
                <c:pt idx="21">
                  <c:v>0.85297578133520879</c:v>
                </c:pt>
                <c:pt idx="22">
                  <c:v>0.83416493802510272</c:v>
                </c:pt>
                <c:pt idx="23">
                  <c:v>0.81592866732674096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63-4AB3-A4A5-5D1E4A4B129B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Planilha1!$R$35:$R$58</c:f>
              <c:numCache>
                <c:formatCode>General</c:formatCode>
                <c:ptCount val="24"/>
                <c:pt idx="0">
                  <c:v>0</c:v>
                </c:pt>
                <c:pt idx="1">
                  <c:v>0.3010299956639812</c:v>
                </c:pt>
                <c:pt idx="2">
                  <c:v>0.47712125471966244</c:v>
                </c:pt>
                <c:pt idx="3">
                  <c:v>0.6020599913279624</c:v>
                </c:pt>
                <c:pt idx="4">
                  <c:v>0.69897000433601886</c:v>
                </c:pt>
                <c:pt idx="5">
                  <c:v>0.77815125038364363</c:v>
                </c:pt>
                <c:pt idx="6">
                  <c:v>0.84509804001425681</c:v>
                </c:pt>
                <c:pt idx="7">
                  <c:v>0.90308998699194354</c:v>
                </c:pt>
                <c:pt idx="8">
                  <c:v>0.95424250943932487</c:v>
                </c:pt>
                <c:pt idx="9">
                  <c:v>1</c:v>
                </c:pt>
                <c:pt idx="10">
                  <c:v>1.0413926851582251</c:v>
                </c:pt>
                <c:pt idx="11">
                  <c:v>1.0791812460476249</c:v>
                </c:pt>
                <c:pt idx="12">
                  <c:v>1.1139433523068367</c:v>
                </c:pt>
                <c:pt idx="13">
                  <c:v>1.146128035678238</c:v>
                </c:pt>
                <c:pt idx="14">
                  <c:v>1.1760912590556813</c:v>
                </c:pt>
                <c:pt idx="15">
                  <c:v>1.2041199826559248</c:v>
                </c:pt>
                <c:pt idx="16">
                  <c:v>1.2304489213782739</c:v>
                </c:pt>
                <c:pt idx="17">
                  <c:v>1.255272505103306</c:v>
                </c:pt>
                <c:pt idx="18">
                  <c:v>1.2787536009528289</c:v>
                </c:pt>
                <c:pt idx="19">
                  <c:v>1.3010299956639813</c:v>
                </c:pt>
                <c:pt idx="20">
                  <c:v>1.3222192947339193</c:v>
                </c:pt>
                <c:pt idx="21">
                  <c:v>1.3424226808222062</c:v>
                </c:pt>
                <c:pt idx="22">
                  <c:v>1.3617278360175928</c:v>
                </c:pt>
                <c:pt idx="23">
                  <c:v>1.3802112417116059</c:v>
                </c:pt>
              </c:numCache>
            </c:numRef>
          </c:xVal>
          <c:yVal>
            <c:numRef>
              <c:f>Planilha1!$W$35:$W$58</c:f>
              <c:numCache>
                <c:formatCode>General</c:formatCode>
                <c:ptCount val="24"/>
                <c:pt idx="0">
                  <c:v>1.7293527851516157</c:v>
                </c:pt>
                <c:pt idx="1">
                  <c:v>1.527314521810051</c:v>
                </c:pt>
                <c:pt idx="2">
                  <c:v>1.3792517663024459</c:v>
                </c:pt>
                <c:pt idx="3">
                  <c:v>1.2517776667863489</c:v>
                </c:pt>
                <c:pt idx="4">
                  <c:v>1.186627353292572</c:v>
                </c:pt>
                <c:pt idx="5">
                  <c:v>1.1461916485858814</c:v>
                </c:pt>
                <c:pt idx="6">
                  <c:v>1.1158570096630511</c:v>
                </c:pt>
                <c:pt idx="7">
                  <c:v>1.0853377766149204</c:v>
                </c:pt>
                <c:pt idx="8">
                  <c:v>1.0473894846331244</c:v>
                </c:pt>
                <c:pt idx="9">
                  <c:v>1.0253450520357148</c:v>
                </c:pt>
                <c:pt idx="10">
                  <c:v>1.0110816552245641</c:v>
                </c:pt>
                <c:pt idx="11">
                  <c:v>1.010816693221436</c:v>
                </c:pt>
                <c:pt idx="12">
                  <c:v>0.99541411159207649</c:v>
                </c:pt>
                <c:pt idx="13">
                  <c:v>0.98621083777064167</c:v>
                </c:pt>
                <c:pt idx="14">
                  <c:v>0.98361856585539809</c:v>
                </c:pt>
                <c:pt idx="15">
                  <c:v>0.97219180958322826</c:v>
                </c:pt>
                <c:pt idx="16">
                  <c:v>0.95945294587327279</c:v>
                </c:pt>
                <c:pt idx="17">
                  <c:v>0.94830422043296481</c:v>
                </c:pt>
                <c:pt idx="18">
                  <c:v>0.92817197211305158</c:v>
                </c:pt>
                <c:pt idx="19">
                  <c:v>0.90563934802197155</c:v>
                </c:pt>
                <c:pt idx="20">
                  <c:v>0.88675351855353113</c:v>
                </c:pt>
                <c:pt idx="21">
                  <c:v>0.86926655313865386</c:v>
                </c:pt>
                <c:pt idx="22">
                  <c:v>0.84916803703724275</c:v>
                </c:pt>
                <c:pt idx="23">
                  <c:v>0.82923710780091686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F63-4AB3-A4A5-5D1E4A4B129B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Planilha1!$R$35:$R$58</c:f>
              <c:numCache>
                <c:formatCode>General</c:formatCode>
                <c:ptCount val="24"/>
                <c:pt idx="0">
                  <c:v>0</c:v>
                </c:pt>
                <c:pt idx="1">
                  <c:v>0.3010299956639812</c:v>
                </c:pt>
                <c:pt idx="2">
                  <c:v>0.47712125471966244</c:v>
                </c:pt>
                <c:pt idx="3">
                  <c:v>0.6020599913279624</c:v>
                </c:pt>
                <c:pt idx="4">
                  <c:v>0.69897000433601886</c:v>
                </c:pt>
                <c:pt idx="5">
                  <c:v>0.77815125038364363</c:v>
                </c:pt>
                <c:pt idx="6">
                  <c:v>0.84509804001425681</c:v>
                </c:pt>
                <c:pt idx="7">
                  <c:v>0.90308998699194354</c:v>
                </c:pt>
                <c:pt idx="8">
                  <c:v>0.95424250943932487</c:v>
                </c:pt>
                <c:pt idx="9">
                  <c:v>1</c:v>
                </c:pt>
                <c:pt idx="10">
                  <c:v>1.0413926851582251</c:v>
                </c:pt>
                <c:pt idx="11">
                  <c:v>1.0791812460476249</c:v>
                </c:pt>
                <c:pt idx="12">
                  <c:v>1.1139433523068367</c:v>
                </c:pt>
                <c:pt idx="13">
                  <c:v>1.146128035678238</c:v>
                </c:pt>
                <c:pt idx="14">
                  <c:v>1.1760912590556813</c:v>
                </c:pt>
                <c:pt idx="15">
                  <c:v>1.2041199826559248</c:v>
                </c:pt>
                <c:pt idx="16">
                  <c:v>1.2304489213782739</c:v>
                </c:pt>
                <c:pt idx="17">
                  <c:v>1.255272505103306</c:v>
                </c:pt>
                <c:pt idx="18">
                  <c:v>1.2787536009528289</c:v>
                </c:pt>
                <c:pt idx="19">
                  <c:v>1.3010299956639813</c:v>
                </c:pt>
                <c:pt idx="20">
                  <c:v>1.3222192947339193</c:v>
                </c:pt>
                <c:pt idx="21">
                  <c:v>1.3424226808222062</c:v>
                </c:pt>
                <c:pt idx="22">
                  <c:v>1.3617278360175928</c:v>
                </c:pt>
                <c:pt idx="23">
                  <c:v>1.3802112417116059</c:v>
                </c:pt>
              </c:numCache>
            </c:numRef>
          </c:xVal>
          <c:yVal>
            <c:numRef>
              <c:f>Planilha1!$X$35:$X$58</c:f>
              <c:numCache>
                <c:formatCode>General</c:formatCode>
                <c:ptCount val="24"/>
                <c:pt idx="0">
                  <c:v>1.7497915569754037</c:v>
                </c:pt>
                <c:pt idx="1">
                  <c:v>1.556243734320945</c:v>
                </c:pt>
                <c:pt idx="2">
                  <c:v>1.4011795463263796</c:v>
                </c:pt>
                <c:pt idx="3">
                  <c:v>1.2631999715056257</c:v>
                </c:pt>
                <c:pt idx="4">
                  <c:v>1.1950820743037811</c:v>
                </c:pt>
                <c:pt idx="5">
                  <c:v>1.1559877710770026</c:v>
                </c:pt>
                <c:pt idx="6">
                  <c:v>1.1258701117680807</c:v>
                </c:pt>
                <c:pt idx="7">
                  <c:v>1.0971772814570917</c:v>
                </c:pt>
                <c:pt idx="8">
                  <c:v>1.0564259033022116</c:v>
                </c:pt>
                <c:pt idx="9">
                  <c:v>1.0350680279718347</c:v>
                </c:pt>
                <c:pt idx="10">
                  <c:v>1.0226710280199003</c:v>
                </c:pt>
                <c:pt idx="11">
                  <c:v>1.0254942150164013</c:v>
                </c:pt>
                <c:pt idx="12">
                  <c:v>1.0101693199477517</c:v>
                </c:pt>
                <c:pt idx="13">
                  <c:v>1.0030223212840157</c:v>
                </c:pt>
                <c:pt idx="14">
                  <c:v>1.004111692210137</c:v>
                </c:pt>
                <c:pt idx="15">
                  <c:v>0.99383883584708155</c:v>
                </c:pt>
                <c:pt idx="16">
                  <c:v>0.98186651230240907</c:v>
                </c:pt>
                <c:pt idx="17">
                  <c:v>0.97169859627820099</c:v>
                </c:pt>
                <c:pt idx="18">
                  <c:v>0.95072908669783296</c:v>
                </c:pt>
                <c:pt idx="19">
                  <c:v>0.92642221789461476</c:v>
                </c:pt>
                <c:pt idx="20">
                  <c:v>0.9063480560667011</c:v>
                </c:pt>
                <c:pt idx="21">
                  <c:v>0.88789343082343763</c:v>
                </c:pt>
                <c:pt idx="22">
                  <c:v>0.86614509457744659</c:v>
                </c:pt>
                <c:pt idx="23">
                  <c:v>0.84407836545223969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F63-4AB3-A4A5-5D1E4A4B129B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Planilha1!$R$35:$R$58</c:f>
              <c:numCache>
                <c:formatCode>General</c:formatCode>
                <c:ptCount val="24"/>
                <c:pt idx="0">
                  <c:v>0</c:v>
                </c:pt>
                <c:pt idx="1">
                  <c:v>0.3010299956639812</c:v>
                </c:pt>
                <c:pt idx="2">
                  <c:v>0.47712125471966244</c:v>
                </c:pt>
                <c:pt idx="3">
                  <c:v>0.6020599913279624</c:v>
                </c:pt>
                <c:pt idx="4">
                  <c:v>0.69897000433601886</c:v>
                </c:pt>
                <c:pt idx="5">
                  <c:v>0.77815125038364363</c:v>
                </c:pt>
                <c:pt idx="6">
                  <c:v>0.84509804001425681</c:v>
                </c:pt>
                <c:pt idx="7">
                  <c:v>0.90308998699194354</c:v>
                </c:pt>
                <c:pt idx="8">
                  <c:v>0.95424250943932487</c:v>
                </c:pt>
                <c:pt idx="9">
                  <c:v>1</c:v>
                </c:pt>
                <c:pt idx="10">
                  <c:v>1.0413926851582251</c:v>
                </c:pt>
                <c:pt idx="11">
                  <c:v>1.0791812460476249</c:v>
                </c:pt>
                <c:pt idx="12">
                  <c:v>1.1139433523068367</c:v>
                </c:pt>
                <c:pt idx="13">
                  <c:v>1.146128035678238</c:v>
                </c:pt>
                <c:pt idx="14">
                  <c:v>1.1760912590556813</c:v>
                </c:pt>
                <c:pt idx="15">
                  <c:v>1.2041199826559248</c:v>
                </c:pt>
                <c:pt idx="16">
                  <c:v>1.2304489213782739</c:v>
                </c:pt>
                <c:pt idx="17">
                  <c:v>1.255272505103306</c:v>
                </c:pt>
                <c:pt idx="18">
                  <c:v>1.2787536009528289</c:v>
                </c:pt>
                <c:pt idx="19">
                  <c:v>1.3010299956639813</c:v>
                </c:pt>
                <c:pt idx="20">
                  <c:v>1.3222192947339193</c:v>
                </c:pt>
                <c:pt idx="21">
                  <c:v>1.3424226808222062</c:v>
                </c:pt>
                <c:pt idx="22">
                  <c:v>1.3617278360175928</c:v>
                </c:pt>
                <c:pt idx="23">
                  <c:v>1.3802112417116059</c:v>
                </c:pt>
              </c:numCache>
            </c:numRef>
          </c:xVal>
          <c:yVal>
            <c:numRef>
              <c:f>Planilha1!$Y$35:$Y$58</c:f>
              <c:numCache>
                <c:formatCode>General</c:formatCode>
                <c:ptCount val="24"/>
                <c:pt idx="0">
                  <c:v>1.7623785858713872</c:v>
                </c:pt>
                <c:pt idx="1">
                  <c:v>1.5749390843079822</c:v>
                </c:pt>
                <c:pt idx="2">
                  <c:v>1.4150520539588951</c:v>
                </c:pt>
                <c:pt idx="3">
                  <c:v>1.2699747417649214</c:v>
                </c:pt>
                <c:pt idx="4">
                  <c:v>1.1999164818079606</c:v>
                </c:pt>
                <c:pt idx="5">
                  <c:v>1.161682416836018</c:v>
                </c:pt>
                <c:pt idx="6">
                  <c:v>1.1316595868909338</c:v>
                </c:pt>
                <c:pt idx="7">
                  <c:v>1.1041751601474192</c:v>
                </c:pt>
                <c:pt idx="8">
                  <c:v>1.0616312674785886</c:v>
                </c:pt>
                <c:pt idx="9">
                  <c:v>1.0407091856891739</c:v>
                </c:pt>
                <c:pt idx="10">
                  <c:v>1.0294993349260673</c:v>
                </c:pt>
                <c:pt idx="11">
                  <c:v>1.0342903946205722</c:v>
                </c:pt>
                <c:pt idx="12">
                  <c:v>1.0189818357045246</c:v>
                </c:pt>
                <c:pt idx="13">
                  <c:v>1.013164845915874</c:v>
                </c:pt>
                <c:pt idx="14">
                  <c:v>1.0167067119796538</c:v>
                </c:pt>
                <c:pt idx="15">
                  <c:v>1.0072148415497144</c:v>
                </c:pt>
                <c:pt idx="16">
                  <c:v>0.99574372860519977</c:v>
                </c:pt>
                <c:pt idx="17">
                  <c:v>0.98620875281041653</c:v>
                </c:pt>
                <c:pt idx="18">
                  <c:v>0.96465716214297692</c:v>
                </c:pt>
                <c:pt idx="19">
                  <c:v>0.93914946083941064</c:v>
                </c:pt>
                <c:pt idx="20">
                  <c:v>0.9182752696860641</c:v>
                </c:pt>
                <c:pt idx="21">
                  <c:v>0.89917181270379698</c:v>
                </c:pt>
                <c:pt idx="22">
                  <c:v>0.87632633959540451</c:v>
                </c:pt>
                <c:pt idx="23">
                  <c:v>0.85285898011686179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F63-4AB3-A4A5-5D1E4A4B129B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Planilha1!$R$35:$R$58</c:f>
              <c:numCache>
                <c:formatCode>General</c:formatCode>
                <c:ptCount val="24"/>
                <c:pt idx="0">
                  <c:v>0</c:v>
                </c:pt>
                <c:pt idx="1">
                  <c:v>0.3010299956639812</c:v>
                </c:pt>
                <c:pt idx="2">
                  <c:v>0.47712125471966244</c:v>
                </c:pt>
                <c:pt idx="3">
                  <c:v>0.6020599913279624</c:v>
                </c:pt>
                <c:pt idx="4">
                  <c:v>0.69897000433601886</c:v>
                </c:pt>
                <c:pt idx="5">
                  <c:v>0.77815125038364363</c:v>
                </c:pt>
                <c:pt idx="6">
                  <c:v>0.84509804001425681</c:v>
                </c:pt>
                <c:pt idx="7">
                  <c:v>0.90308998699194354</c:v>
                </c:pt>
                <c:pt idx="8">
                  <c:v>0.95424250943932487</c:v>
                </c:pt>
                <c:pt idx="9">
                  <c:v>1</c:v>
                </c:pt>
                <c:pt idx="10">
                  <c:v>1.0413926851582251</c:v>
                </c:pt>
                <c:pt idx="11">
                  <c:v>1.0791812460476249</c:v>
                </c:pt>
                <c:pt idx="12">
                  <c:v>1.1139433523068367</c:v>
                </c:pt>
                <c:pt idx="13">
                  <c:v>1.146128035678238</c:v>
                </c:pt>
                <c:pt idx="14">
                  <c:v>1.1760912590556813</c:v>
                </c:pt>
                <c:pt idx="15">
                  <c:v>1.2041199826559248</c:v>
                </c:pt>
                <c:pt idx="16">
                  <c:v>1.2304489213782739</c:v>
                </c:pt>
                <c:pt idx="17">
                  <c:v>1.255272505103306</c:v>
                </c:pt>
                <c:pt idx="18">
                  <c:v>1.2787536009528289</c:v>
                </c:pt>
                <c:pt idx="19">
                  <c:v>1.3010299956639813</c:v>
                </c:pt>
                <c:pt idx="20">
                  <c:v>1.3222192947339193</c:v>
                </c:pt>
                <c:pt idx="21">
                  <c:v>1.3424226808222062</c:v>
                </c:pt>
                <c:pt idx="22">
                  <c:v>1.3617278360175928</c:v>
                </c:pt>
                <c:pt idx="23">
                  <c:v>1.3802112417116059</c:v>
                </c:pt>
              </c:numCache>
            </c:numRef>
          </c:xVal>
          <c:yVal>
            <c:numRef>
              <c:f>Planilha1!$Z$35:$Z$58</c:f>
              <c:numCache>
                <c:formatCode>General</c:formatCode>
                <c:ptCount val="24"/>
                <c:pt idx="0">
                  <c:v>1.7713748668361593</c:v>
                </c:pt>
                <c:pt idx="1">
                  <c:v>1.5887404925964674</c:v>
                </c:pt>
                <c:pt idx="2">
                  <c:v>1.4251477812787721</c:v>
                </c:pt>
                <c:pt idx="3">
                  <c:v>1.2746922023482672</c:v>
                </c:pt>
                <c:pt idx="4">
                  <c:v>1.2031990104052077</c:v>
                </c:pt>
                <c:pt idx="5">
                  <c:v>1.1655933420705187</c:v>
                </c:pt>
                <c:pt idx="6">
                  <c:v>1.1356212165966337</c:v>
                </c:pt>
                <c:pt idx="7">
                  <c:v>1.1090367427256489</c:v>
                </c:pt>
                <c:pt idx="8">
                  <c:v>1.0651837614024962</c:v>
                </c:pt>
                <c:pt idx="9">
                  <c:v>1.0445782357589821</c:v>
                </c:pt>
                <c:pt idx="10">
                  <c:v>1.034232786358698</c:v>
                </c:pt>
                <c:pt idx="11">
                  <c:v>1.0404604638612058</c:v>
                </c:pt>
                <c:pt idx="12">
                  <c:v>1.0251491515914537</c:v>
                </c:pt>
                <c:pt idx="13">
                  <c:v>1.0203127343792611</c:v>
                </c:pt>
                <c:pt idx="14">
                  <c:v>1.0256965769286279</c:v>
                </c:pt>
                <c:pt idx="15">
                  <c:v>1.0167972629392414</c:v>
                </c:pt>
                <c:pt idx="16">
                  <c:v>1.0056988712704393</c:v>
                </c:pt>
                <c:pt idx="17">
                  <c:v>0.9966308481363394</c:v>
                </c:pt>
                <c:pt idx="18">
                  <c:v>0.97463073668187172</c:v>
                </c:pt>
                <c:pt idx="19">
                  <c:v>0.94821206793293711</c:v>
                </c:pt>
                <c:pt idx="20">
                  <c:v>0.92673317960408264</c:v>
                </c:pt>
                <c:pt idx="21">
                  <c:v>0.90714069665325159</c:v>
                </c:pt>
                <c:pt idx="22">
                  <c:v>0.88347277902898724</c:v>
                </c:pt>
                <c:pt idx="23">
                  <c:v>0.85896501953380677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F63-4AB3-A4A5-5D1E4A4B129B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Planilha1!$R$35:$R$58</c:f>
              <c:numCache>
                <c:formatCode>General</c:formatCode>
                <c:ptCount val="24"/>
                <c:pt idx="0">
                  <c:v>0</c:v>
                </c:pt>
                <c:pt idx="1">
                  <c:v>0.3010299956639812</c:v>
                </c:pt>
                <c:pt idx="2">
                  <c:v>0.47712125471966244</c:v>
                </c:pt>
                <c:pt idx="3">
                  <c:v>0.6020599913279624</c:v>
                </c:pt>
                <c:pt idx="4">
                  <c:v>0.69897000433601886</c:v>
                </c:pt>
                <c:pt idx="5">
                  <c:v>0.77815125038364363</c:v>
                </c:pt>
                <c:pt idx="6">
                  <c:v>0.84509804001425681</c:v>
                </c:pt>
                <c:pt idx="7">
                  <c:v>0.90308998699194354</c:v>
                </c:pt>
                <c:pt idx="8">
                  <c:v>0.95424250943932487</c:v>
                </c:pt>
                <c:pt idx="9">
                  <c:v>1</c:v>
                </c:pt>
                <c:pt idx="10">
                  <c:v>1.0413926851582251</c:v>
                </c:pt>
                <c:pt idx="11">
                  <c:v>1.0791812460476249</c:v>
                </c:pt>
                <c:pt idx="12">
                  <c:v>1.1139433523068367</c:v>
                </c:pt>
                <c:pt idx="13">
                  <c:v>1.146128035678238</c:v>
                </c:pt>
                <c:pt idx="14">
                  <c:v>1.1760912590556813</c:v>
                </c:pt>
                <c:pt idx="15">
                  <c:v>1.2041199826559248</c:v>
                </c:pt>
                <c:pt idx="16">
                  <c:v>1.2304489213782739</c:v>
                </c:pt>
                <c:pt idx="17">
                  <c:v>1.255272505103306</c:v>
                </c:pt>
                <c:pt idx="18">
                  <c:v>1.2787536009528289</c:v>
                </c:pt>
                <c:pt idx="19">
                  <c:v>1.3010299956639813</c:v>
                </c:pt>
                <c:pt idx="20">
                  <c:v>1.3222192947339193</c:v>
                </c:pt>
                <c:pt idx="21">
                  <c:v>1.3424226808222062</c:v>
                </c:pt>
                <c:pt idx="22">
                  <c:v>1.3617278360175928</c:v>
                </c:pt>
                <c:pt idx="23">
                  <c:v>1.3802112417116059</c:v>
                </c:pt>
              </c:numCache>
            </c:numRef>
          </c:xVal>
          <c:yVal>
            <c:numRef>
              <c:f>Planilha1!$AA$35:$AA$58</c:f>
              <c:numCache>
                <c:formatCode>General</c:formatCode>
                <c:ptCount val="24"/>
                <c:pt idx="0">
                  <c:v>1.775049897535065</c:v>
                </c:pt>
                <c:pt idx="1">
                  <c:v>1.5944883013247992</c:v>
                </c:pt>
                <c:pt idx="2">
                  <c:v>1.4293166203063492</c:v>
                </c:pt>
                <c:pt idx="3">
                  <c:v>1.2765889188039228</c:v>
                </c:pt>
                <c:pt idx="4">
                  <c:v>1.2044987153731233</c:v>
                </c:pt>
                <c:pt idx="5">
                  <c:v>1.1671526407876271</c:v>
                </c:pt>
                <c:pt idx="6">
                  <c:v>1.1371972872678635</c:v>
                </c:pt>
                <c:pt idx="7">
                  <c:v>1.1109887215005227</c:v>
                </c:pt>
                <c:pt idx="8">
                  <c:v>1.0665947403590155</c:v>
                </c:pt>
                <c:pt idx="9">
                  <c:v>1.0461195985137286</c:v>
                </c:pt>
                <c:pt idx="10">
                  <c:v>1.036130809568337</c:v>
                </c:pt>
                <c:pt idx="11">
                  <c:v>1.0429524514927015</c:v>
                </c:pt>
                <c:pt idx="12">
                  <c:v>1.0276365950916866</c:v>
                </c:pt>
                <c:pt idx="13">
                  <c:v>1.0232079666924427</c:v>
                </c:pt>
                <c:pt idx="14">
                  <c:v>1.0293660411000309</c:v>
                </c:pt>
                <c:pt idx="15">
                  <c:v>1.0207172658620987</c:v>
                </c:pt>
                <c:pt idx="16">
                  <c:v>1.0097747456652331</c:v>
                </c:pt>
                <c:pt idx="17">
                  <c:v>1.0009011360877824</c:v>
                </c:pt>
                <c:pt idx="18">
                  <c:v>0.97870977970356443</c:v>
                </c:pt>
                <c:pt idx="19">
                  <c:v>0.95190599555372613</c:v>
                </c:pt>
                <c:pt idx="20">
                  <c:v>0.9301720338629007</c:v>
                </c:pt>
                <c:pt idx="21">
                  <c:v>0.9103736265782314</c:v>
                </c:pt>
                <c:pt idx="22">
                  <c:v>0.88636049071234424</c:v>
                </c:pt>
                <c:pt idx="23">
                  <c:v>0.86141837275490774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F63-4AB3-A4A5-5D1E4A4B129B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Planilha1!$R$35:$R$58</c:f>
              <c:numCache>
                <c:formatCode>General</c:formatCode>
                <c:ptCount val="24"/>
                <c:pt idx="0">
                  <c:v>0</c:v>
                </c:pt>
                <c:pt idx="1">
                  <c:v>0.3010299956639812</c:v>
                </c:pt>
                <c:pt idx="2">
                  <c:v>0.47712125471966244</c:v>
                </c:pt>
                <c:pt idx="3">
                  <c:v>0.6020599913279624</c:v>
                </c:pt>
                <c:pt idx="4">
                  <c:v>0.69897000433601886</c:v>
                </c:pt>
                <c:pt idx="5">
                  <c:v>0.77815125038364363</c:v>
                </c:pt>
                <c:pt idx="6">
                  <c:v>0.84509804001425681</c:v>
                </c:pt>
                <c:pt idx="7">
                  <c:v>0.90308998699194354</c:v>
                </c:pt>
                <c:pt idx="8">
                  <c:v>0.95424250943932487</c:v>
                </c:pt>
                <c:pt idx="9">
                  <c:v>1</c:v>
                </c:pt>
                <c:pt idx="10">
                  <c:v>1.0413926851582251</c:v>
                </c:pt>
                <c:pt idx="11">
                  <c:v>1.0791812460476249</c:v>
                </c:pt>
                <c:pt idx="12">
                  <c:v>1.1139433523068367</c:v>
                </c:pt>
                <c:pt idx="13">
                  <c:v>1.146128035678238</c:v>
                </c:pt>
                <c:pt idx="14">
                  <c:v>1.1760912590556813</c:v>
                </c:pt>
                <c:pt idx="15">
                  <c:v>1.2041199826559248</c:v>
                </c:pt>
                <c:pt idx="16">
                  <c:v>1.2304489213782739</c:v>
                </c:pt>
                <c:pt idx="17">
                  <c:v>1.255272505103306</c:v>
                </c:pt>
                <c:pt idx="18">
                  <c:v>1.2787536009528289</c:v>
                </c:pt>
                <c:pt idx="19">
                  <c:v>1.3010299956639813</c:v>
                </c:pt>
                <c:pt idx="20">
                  <c:v>1.3222192947339193</c:v>
                </c:pt>
                <c:pt idx="21">
                  <c:v>1.3424226808222062</c:v>
                </c:pt>
                <c:pt idx="22">
                  <c:v>1.3617278360175928</c:v>
                </c:pt>
                <c:pt idx="23">
                  <c:v>1.3802112417116059</c:v>
                </c:pt>
              </c:numCache>
            </c:numRef>
          </c:xVal>
          <c:yVal>
            <c:numRef>
              <c:f>Planilha1!$AB$35:$AB$58</c:f>
              <c:numCache>
                <c:formatCode>General</c:formatCode>
                <c:ptCount val="24"/>
                <c:pt idx="0">
                  <c:v>1.7886946833372646</c:v>
                </c:pt>
                <c:pt idx="1">
                  <c:v>1.6164121419228261</c:v>
                </c:pt>
                <c:pt idx="2">
                  <c:v>1.4450292547886205</c:v>
                </c:pt>
                <c:pt idx="3">
                  <c:v>1.2834742163382342</c:v>
                </c:pt>
                <c:pt idx="4">
                  <c:v>1.2091163463852168</c:v>
                </c:pt>
                <c:pt idx="5">
                  <c:v>1.1727467686020061</c:v>
                </c:pt>
                <c:pt idx="6">
                  <c:v>1.1428345102973905</c:v>
                </c:pt>
                <c:pt idx="7">
                  <c:v>1.1180612231006852</c:v>
                </c:pt>
                <c:pt idx="8">
                  <c:v>1.0716296268500627</c:v>
                </c:pt>
                <c:pt idx="9">
                  <c:v>1.0516431675505793</c:v>
                </c:pt>
                <c:pt idx="10">
                  <c:v>1.042995075922962</c:v>
                </c:pt>
                <c:pt idx="11">
                  <c:v>1.0520572469612417</c:v>
                </c:pt>
                <c:pt idx="12">
                  <c:v>1.0367073848652986</c:v>
                </c:pt>
                <c:pt idx="13">
                  <c:v>1.0338295726322333</c:v>
                </c:pt>
                <c:pt idx="14">
                  <c:v>1.0429749919235107</c:v>
                </c:pt>
                <c:pt idx="15">
                  <c:v>1.035300772932777</c:v>
                </c:pt>
                <c:pt idx="16">
                  <c:v>1.0249560871852159</c:v>
                </c:pt>
                <c:pt idx="17">
                  <c:v>1.0168238173169146</c:v>
                </c:pt>
                <c:pt idx="18">
                  <c:v>0.99388037716096789</c:v>
                </c:pt>
                <c:pt idx="19">
                  <c:v>0.96557890852649908</c:v>
                </c:pt>
                <c:pt idx="20">
                  <c:v>0.94285612546874031</c:v>
                </c:pt>
                <c:pt idx="21">
                  <c:v>0.92226141863087352</c:v>
                </c:pt>
                <c:pt idx="22">
                  <c:v>0.896919290718034</c:v>
                </c:pt>
                <c:pt idx="23">
                  <c:v>0.87031751954422276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F63-4AB3-A4A5-5D1E4A4B129B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Planilha1!$R$35:$R$58</c:f>
              <c:numCache>
                <c:formatCode>General</c:formatCode>
                <c:ptCount val="24"/>
                <c:pt idx="0">
                  <c:v>0</c:v>
                </c:pt>
                <c:pt idx="1">
                  <c:v>0.3010299956639812</c:v>
                </c:pt>
                <c:pt idx="2">
                  <c:v>0.47712125471966244</c:v>
                </c:pt>
                <c:pt idx="3">
                  <c:v>0.6020599913279624</c:v>
                </c:pt>
                <c:pt idx="4">
                  <c:v>0.69897000433601886</c:v>
                </c:pt>
                <c:pt idx="5">
                  <c:v>0.77815125038364363</c:v>
                </c:pt>
                <c:pt idx="6">
                  <c:v>0.84509804001425681</c:v>
                </c:pt>
                <c:pt idx="7">
                  <c:v>0.90308998699194354</c:v>
                </c:pt>
                <c:pt idx="8">
                  <c:v>0.95424250943932487</c:v>
                </c:pt>
                <c:pt idx="9">
                  <c:v>1</c:v>
                </c:pt>
                <c:pt idx="10">
                  <c:v>1.0413926851582251</c:v>
                </c:pt>
                <c:pt idx="11">
                  <c:v>1.0791812460476249</c:v>
                </c:pt>
                <c:pt idx="12">
                  <c:v>1.1139433523068367</c:v>
                </c:pt>
                <c:pt idx="13">
                  <c:v>1.146128035678238</c:v>
                </c:pt>
                <c:pt idx="14">
                  <c:v>1.1760912590556813</c:v>
                </c:pt>
                <c:pt idx="15">
                  <c:v>1.2041199826559248</c:v>
                </c:pt>
                <c:pt idx="16">
                  <c:v>1.2304489213782739</c:v>
                </c:pt>
                <c:pt idx="17">
                  <c:v>1.255272505103306</c:v>
                </c:pt>
                <c:pt idx="18">
                  <c:v>1.2787536009528289</c:v>
                </c:pt>
                <c:pt idx="19">
                  <c:v>1.3010299956639813</c:v>
                </c:pt>
                <c:pt idx="20">
                  <c:v>1.3222192947339193</c:v>
                </c:pt>
                <c:pt idx="21">
                  <c:v>1.3424226808222062</c:v>
                </c:pt>
                <c:pt idx="22">
                  <c:v>1.3617278360175928</c:v>
                </c:pt>
                <c:pt idx="23">
                  <c:v>1.3802112417116059</c:v>
                </c:pt>
              </c:numCache>
            </c:numRef>
          </c:xVal>
          <c:yVal>
            <c:numRef>
              <c:f>Planilha1!$AC$35:$AC$58</c:f>
              <c:numCache>
                <c:formatCode>General</c:formatCode>
                <c:ptCount val="24"/>
                <c:pt idx="0">
                  <c:v>1.7979266341245428</c:v>
                </c:pt>
                <c:pt idx="1">
                  <c:v>1.6317916924384741</c:v>
                </c:pt>
                <c:pt idx="2">
                  <c:v>1.4558772281933572</c:v>
                </c:pt>
                <c:pt idx="3">
                  <c:v>1.2879901213225522</c:v>
                </c:pt>
                <c:pt idx="4">
                  <c:v>1.2120560471363524</c:v>
                </c:pt>
                <c:pt idx="5">
                  <c:v>1.176356605201198</c:v>
                </c:pt>
                <c:pt idx="6">
                  <c:v>1.1464571239446977</c:v>
                </c:pt>
                <c:pt idx="7">
                  <c:v>1.122688050775972</c:v>
                </c:pt>
                <c:pt idx="8">
                  <c:v>1.0748544582428556</c:v>
                </c:pt>
                <c:pt idx="9">
                  <c:v>1.0552019501133367</c:v>
                </c:pt>
                <c:pt idx="10">
                  <c:v>1.0474742158320758</c:v>
                </c:pt>
                <c:pt idx="11">
                  <c:v>1.0580829905344116</c:v>
                </c:pt>
                <c:pt idx="12">
                  <c:v>1.0426950081697133</c:v>
                </c:pt>
                <c:pt idx="13">
                  <c:v>1.0408994028203751</c:v>
                </c:pt>
                <c:pt idx="14">
                  <c:v>1.0521689246759687</c:v>
                </c:pt>
                <c:pt idx="15">
                  <c:v>1.0451949968070124</c:v>
                </c:pt>
                <c:pt idx="16">
                  <c:v>1.0352726227705831</c:v>
                </c:pt>
                <c:pt idx="17">
                  <c:v>1.0276602748031163</c:v>
                </c:pt>
                <c:pt idx="18">
                  <c:v>1.0041691505060029</c:v>
                </c:pt>
                <c:pt idx="19">
                  <c:v>0.97479188348282897</c:v>
                </c:pt>
                <c:pt idx="20">
                  <c:v>0.95136185922043515</c:v>
                </c:pt>
                <c:pt idx="21">
                  <c:v>0.93019954298065755</c:v>
                </c:pt>
                <c:pt idx="22">
                  <c:v>0.90391569350772472</c:v>
                </c:pt>
                <c:pt idx="23">
                  <c:v>0.87614955286756313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F63-4AB3-A4A5-5D1E4A4B1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4667823"/>
        <c:axId val="1002864431"/>
      </c:scatterChart>
      <c:valAx>
        <c:axId val="165466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2864431"/>
        <c:crosses val="autoZero"/>
        <c:crossBetween val="midCat"/>
      </c:valAx>
      <c:valAx>
        <c:axId val="100286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4667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365760</xdr:colOff>
      <xdr:row>2</xdr:row>
      <xdr:rowOff>160020</xdr:rowOff>
    </xdr:from>
    <xdr:to>
      <xdr:col>37</xdr:col>
      <xdr:colOff>60960</xdr:colOff>
      <xdr:row>19</xdr:row>
      <xdr:rowOff>53340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30630E-91B4-CC9C-8E6B-9DB1D8C46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403860</xdr:colOff>
      <xdr:row>34</xdr:row>
      <xdr:rowOff>15240</xdr:rowOff>
    </xdr:from>
    <xdr:to>
      <xdr:col>37</xdr:col>
      <xdr:colOff>99060</xdr:colOff>
      <xdr:row>50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41F9AE6-F2B8-DC82-E8DC-8280EFBC41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37A7B-3241-4107-897C-40B089B8C08A}">
  <dimension ref="B2:AC459"/>
  <sheetViews>
    <sheetView tabSelected="1" topLeftCell="L30" workbookViewId="0">
      <selection activeCell="Q67" sqref="Q67"/>
    </sheetView>
  </sheetViews>
  <sheetFormatPr defaultRowHeight="13.2" x14ac:dyDescent="0.3"/>
  <sheetData>
    <row r="2" spans="2:29" x14ac:dyDescent="0.3">
      <c r="B2" t="s">
        <v>3</v>
      </c>
      <c r="E2" t="s">
        <v>4</v>
      </c>
      <c r="I2" t="s">
        <v>5</v>
      </c>
      <c r="O2" t="s">
        <v>6</v>
      </c>
      <c r="S2" t="s">
        <v>0</v>
      </c>
    </row>
    <row r="3" spans="2:29" x14ac:dyDescent="0.3">
      <c r="B3" t="s">
        <v>7</v>
      </c>
      <c r="D3" t="s">
        <v>2</v>
      </c>
      <c r="E3" t="s">
        <v>8</v>
      </c>
      <c r="F3" t="s">
        <v>9</v>
      </c>
      <c r="G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O3">
        <v>2</v>
      </c>
      <c r="S3" t="s">
        <v>1</v>
      </c>
    </row>
    <row r="4" spans="2:29" x14ac:dyDescent="0.3">
      <c r="D4">
        <v>1</v>
      </c>
      <c r="E4">
        <v>29.444048124526699</v>
      </c>
      <c r="F4">
        <v>6.4535405833668698</v>
      </c>
      <c r="G4">
        <v>5.7376328603356501E-2</v>
      </c>
      <c r="I4">
        <v>2022</v>
      </c>
      <c r="J4">
        <v>1</v>
      </c>
      <c r="K4">
        <v>47.6</v>
      </c>
      <c r="L4">
        <v>0.05</v>
      </c>
      <c r="M4">
        <v>20</v>
      </c>
      <c r="O4">
        <v>5</v>
      </c>
      <c r="S4">
        <v>2</v>
      </c>
      <c r="T4">
        <v>5</v>
      </c>
      <c r="U4">
        <v>10</v>
      </c>
      <c r="V4">
        <v>20</v>
      </c>
      <c r="W4">
        <v>30</v>
      </c>
      <c r="X4">
        <v>50</v>
      </c>
      <c r="Y4">
        <v>70</v>
      </c>
      <c r="Z4">
        <v>90</v>
      </c>
      <c r="AA4">
        <v>100</v>
      </c>
      <c r="AB4">
        <v>150</v>
      </c>
      <c r="AC4">
        <v>200</v>
      </c>
    </row>
    <row r="5" spans="2:29" x14ac:dyDescent="0.3">
      <c r="D5">
        <v>2</v>
      </c>
      <c r="E5">
        <v>18.456547373383199</v>
      </c>
      <c r="F5">
        <v>2.9378841372298101</v>
      </c>
      <c r="G5">
        <v>-9.4272030003222304E-2</v>
      </c>
      <c r="I5">
        <v>2024</v>
      </c>
      <c r="J5">
        <v>1</v>
      </c>
      <c r="K5">
        <v>46.8</v>
      </c>
      <c r="L5">
        <v>0.1</v>
      </c>
      <c r="M5">
        <v>10</v>
      </c>
      <c r="O5">
        <v>10</v>
      </c>
      <c r="S5">
        <v>0.5</v>
      </c>
      <c r="T5">
        <v>0.8</v>
      </c>
      <c r="U5">
        <v>0.9</v>
      </c>
      <c r="V5">
        <v>0.95</v>
      </c>
      <c r="W5">
        <v>0.96666666666666701</v>
      </c>
      <c r="X5">
        <v>0.98</v>
      </c>
      <c r="Y5">
        <v>0.98571428571428599</v>
      </c>
      <c r="Z5">
        <v>0.98888888888888904</v>
      </c>
      <c r="AA5">
        <v>0.99</v>
      </c>
      <c r="AB5">
        <v>0.99333333333333296</v>
      </c>
      <c r="AC5">
        <v>0.995</v>
      </c>
    </row>
    <row r="6" spans="2:29" x14ac:dyDescent="0.3">
      <c r="D6">
        <v>3</v>
      </c>
      <c r="E6">
        <v>14.142529728759101</v>
      </c>
      <c r="F6">
        <v>2.2618736753036099</v>
      </c>
      <c r="G6">
        <v>-1.28428606754309E-2</v>
      </c>
      <c r="I6">
        <v>2007</v>
      </c>
      <c r="J6">
        <v>1</v>
      </c>
      <c r="K6">
        <v>40.6</v>
      </c>
      <c r="L6">
        <v>0.15</v>
      </c>
      <c r="M6">
        <v>6.6666666666666696</v>
      </c>
      <c r="O6">
        <v>20</v>
      </c>
      <c r="Q6" t="s">
        <v>2</v>
      </c>
      <c r="R6">
        <v>1</v>
      </c>
      <c r="S6">
        <v>36.930994976931203</v>
      </c>
      <c r="T6">
        <v>43.541447644363203</v>
      </c>
      <c r="U6">
        <v>47.687474753042999</v>
      </c>
      <c r="V6">
        <v>51.500164122108899</v>
      </c>
      <c r="W6">
        <v>53.623207151544101</v>
      </c>
      <c r="X6">
        <v>56.207148984437097</v>
      </c>
      <c r="Y6">
        <v>57.860020858035803</v>
      </c>
      <c r="Z6">
        <v>59.071073971008801</v>
      </c>
      <c r="AA6">
        <v>59.573058506218999</v>
      </c>
      <c r="AB6">
        <v>61.4744544528508</v>
      </c>
      <c r="AC6">
        <v>62.795226914038402</v>
      </c>
    </row>
    <row r="7" spans="2:29" x14ac:dyDescent="0.3">
      <c r="D7">
        <v>4</v>
      </c>
      <c r="E7">
        <v>11.704597790014301</v>
      </c>
      <c r="F7">
        <v>2.09815057756692</v>
      </c>
      <c r="G7">
        <v>0.18440746743942499</v>
      </c>
      <c r="I7">
        <v>2006</v>
      </c>
      <c r="J7">
        <v>1</v>
      </c>
      <c r="K7">
        <v>37.799999999999997</v>
      </c>
      <c r="L7">
        <v>0.2</v>
      </c>
      <c r="M7">
        <v>5</v>
      </c>
      <c r="O7">
        <v>30</v>
      </c>
      <c r="R7">
        <v>2</v>
      </c>
      <c r="S7">
        <v>22.1909510635343</v>
      </c>
      <c r="T7">
        <v>26.126357775223799</v>
      </c>
      <c r="U7">
        <v>28.973131111242498</v>
      </c>
      <c r="V7">
        <v>31.899729708223902</v>
      </c>
      <c r="W7">
        <v>33.675536377540901</v>
      </c>
      <c r="X7">
        <v>35.995128998807203</v>
      </c>
      <c r="Y7">
        <v>37.578469169141002</v>
      </c>
      <c r="Z7">
        <v>38.791850072530004</v>
      </c>
      <c r="AA7">
        <v>39.308665611289499</v>
      </c>
      <c r="AB7">
        <v>41.3439666753412</v>
      </c>
      <c r="AC7">
        <v>42.834301815080401</v>
      </c>
    </row>
    <row r="8" spans="2:29" x14ac:dyDescent="0.3">
      <c r="D8">
        <v>5</v>
      </c>
      <c r="E8">
        <v>10.2796906612061</v>
      </c>
      <c r="F8">
        <v>2.0639476204523901</v>
      </c>
      <c r="G8">
        <v>0.28231821464650397</v>
      </c>
      <c r="I8">
        <v>2019</v>
      </c>
      <c r="J8">
        <v>1</v>
      </c>
      <c r="K8">
        <v>37.799999999999997</v>
      </c>
      <c r="L8">
        <v>0.25</v>
      </c>
      <c r="M8">
        <v>4</v>
      </c>
      <c r="O8">
        <v>50</v>
      </c>
      <c r="R8">
        <v>3</v>
      </c>
      <c r="S8">
        <v>16.879053938420199</v>
      </c>
      <c r="T8">
        <v>19.5015980018389</v>
      </c>
      <c r="U8">
        <v>21.259073937388301</v>
      </c>
      <c r="V8">
        <v>22.960877893201101</v>
      </c>
      <c r="W8">
        <v>23.9470359569968</v>
      </c>
      <c r="X8">
        <v>25.187180026893</v>
      </c>
      <c r="Y8">
        <v>26.004712335095601</v>
      </c>
      <c r="Z8">
        <v>26.616306026402</v>
      </c>
      <c r="AA8">
        <v>26.873028969433602</v>
      </c>
      <c r="AB8">
        <v>27.863088526426999</v>
      </c>
      <c r="AC8">
        <v>28.567828380408599</v>
      </c>
    </row>
    <row r="9" spans="2:29" x14ac:dyDescent="0.3">
      <c r="D9">
        <v>6</v>
      </c>
      <c r="E9">
        <v>9.2341844696422406</v>
      </c>
      <c r="F9">
        <v>1.7917610895001601</v>
      </c>
      <c r="G9">
        <v>0.238231589155359</v>
      </c>
      <c r="I9">
        <v>2020</v>
      </c>
      <c r="J9">
        <v>1</v>
      </c>
      <c r="K9">
        <v>37.200000000000003</v>
      </c>
      <c r="L9">
        <v>0.3</v>
      </c>
      <c r="M9">
        <v>3.3333333333333299</v>
      </c>
      <c r="O9">
        <v>70</v>
      </c>
      <c r="R9">
        <v>4</v>
      </c>
      <c r="S9">
        <v>13.964177501363499</v>
      </c>
      <c r="T9">
        <v>15.6840084187891</v>
      </c>
      <c r="U9">
        <v>16.6401469049861</v>
      </c>
      <c r="V9">
        <v>17.440974242989999</v>
      </c>
      <c r="W9">
        <v>17.8557323242498</v>
      </c>
      <c r="X9">
        <v>18.331583083960101</v>
      </c>
      <c r="Y9">
        <v>18.619788422476301</v>
      </c>
      <c r="Z9">
        <v>18.8231456330006</v>
      </c>
      <c r="AA9">
        <v>18.9055326932437</v>
      </c>
      <c r="AB9">
        <v>19.207649243296199</v>
      </c>
      <c r="AC9">
        <v>19.408417297431399</v>
      </c>
    </row>
    <row r="10" spans="2:29" x14ac:dyDescent="0.3">
      <c r="D10">
        <v>7</v>
      </c>
      <c r="E10">
        <v>8.3651497424324504</v>
      </c>
      <c r="F10">
        <v>1.79978423680768</v>
      </c>
      <c r="G10">
        <v>0.24989545861557899</v>
      </c>
      <c r="I10">
        <v>2025</v>
      </c>
      <c r="J10">
        <v>1</v>
      </c>
      <c r="K10">
        <v>36.799999999999997</v>
      </c>
      <c r="L10">
        <v>0.35</v>
      </c>
      <c r="M10">
        <v>2.8571428571428599</v>
      </c>
      <c r="O10">
        <v>90</v>
      </c>
      <c r="R10">
        <v>5</v>
      </c>
      <c r="S10">
        <v>12.381314853842399</v>
      </c>
      <c r="T10">
        <v>13.807780239088</v>
      </c>
      <c r="U10">
        <v>14.5299644171509</v>
      </c>
      <c r="V10">
        <v>15.0927846833121</v>
      </c>
      <c r="W10">
        <v>15.3683539162706</v>
      </c>
      <c r="X10">
        <v>15.6704718751251</v>
      </c>
      <c r="Y10">
        <v>15.845884345314101</v>
      </c>
      <c r="Z10">
        <v>15.966106079104801</v>
      </c>
      <c r="AA10">
        <v>16.0139591146798</v>
      </c>
      <c r="AB10">
        <v>16.185135752318601</v>
      </c>
      <c r="AC10">
        <v>16.295063122388498</v>
      </c>
    </row>
    <row r="11" spans="2:29" x14ac:dyDescent="0.3">
      <c r="D11">
        <v>8</v>
      </c>
      <c r="E11">
        <v>7.7496815521807099</v>
      </c>
      <c r="F11">
        <v>1.52588871941291</v>
      </c>
      <c r="G11">
        <v>0.19075817442668799</v>
      </c>
      <c r="I11">
        <v>2009</v>
      </c>
      <c r="J11">
        <v>1</v>
      </c>
      <c r="K11">
        <v>35.4</v>
      </c>
      <c r="L11">
        <v>0.4</v>
      </c>
      <c r="M11">
        <v>2.5</v>
      </c>
      <c r="O11">
        <v>100</v>
      </c>
      <c r="R11">
        <v>6</v>
      </c>
      <c r="S11">
        <v>11.1050048259923</v>
      </c>
      <c r="T11">
        <v>12.442052558174201</v>
      </c>
      <c r="U11">
        <v>13.148154377227399</v>
      </c>
      <c r="V11">
        <v>13.7165921469936</v>
      </c>
      <c r="W11">
        <v>14.0020507880501</v>
      </c>
      <c r="X11">
        <v>14.321475720999601</v>
      </c>
      <c r="Y11">
        <v>14.510501313254199</v>
      </c>
      <c r="Z11">
        <v>14.641761962844599</v>
      </c>
      <c r="AA11">
        <v>14.6944264955447</v>
      </c>
      <c r="AB11">
        <v>14.884929039983</v>
      </c>
      <c r="AC11">
        <v>15.0091675315008</v>
      </c>
    </row>
    <row r="12" spans="2:29" x14ac:dyDescent="0.3">
      <c r="D12">
        <v>9</v>
      </c>
      <c r="E12">
        <v>7.4116352530340004</v>
      </c>
      <c r="F12">
        <v>1.4672133600950199</v>
      </c>
      <c r="G12">
        <v>0.26266777980533801</v>
      </c>
      <c r="I12">
        <v>2011</v>
      </c>
      <c r="J12">
        <v>1</v>
      </c>
      <c r="K12">
        <v>34.6</v>
      </c>
      <c r="L12">
        <v>0.45</v>
      </c>
      <c r="M12">
        <v>2.2222222222222201</v>
      </c>
      <c r="O12">
        <v>150</v>
      </c>
      <c r="R12">
        <v>7</v>
      </c>
      <c r="S12">
        <v>10.2318732497229</v>
      </c>
      <c r="T12">
        <v>11.5479078081653</v>
      </c>
      <c r="U12">
        <v>12.2352011396198</v>
      </c>
      <c r="V12">
        <v>12.7837676210452</v>
      </c>
      <c r="W12">
        <v>13.0574090552828</v>
      </c>
      <c r="X12">
        <v>13.361958290601301</v>
      </c>
      <c r="Y12">
        <v>13.541275902285999</v>
      </c>
      <c r="Z12">
        <v>13.665364385405701</v>
      </c>
      <c r="AA12">
        <v>13.715046590848701</v>
      </c>
      <c r="AB12">
        <v>13.8942308493277</v>
      </c>
      <c r="AC12">
        <v>14.0106125726633</v>
      </c>
    </row>
    <row r="13" spans="2:29" x14ac:dyDescent="0.3">
      <c r="D13">
        <v>10</v>
      </c>
      <c r="E13">
        <v>6.9711230789501002</v>
      </c>
      <c r="F13">
        <v>1.37574151573906</v>
      </c>
      <c r="G13">
        <v>0.24306923904467201</v>
      </c>
      <c r="I13">
        <v>2015</v>
      </c>
      <c r="J13">
        <v>1</v>
      </c>
      <c r="K13">
        <v>30.4</v>
      </c>
      <c r="L13">
        <v>0.5</v>
      </c>
      <c r="M13">
        <v>2</v>
      </c>
      <c r="O13">
        <v>200</v>
      </c>
      <c r="R13">
        <v>8</v>
      </c>
      <c r="S13">
        <v>9.3869517845726307</v>
      </c>
      <c r="T13">
        <v>10.6239044203256</v>
      </c>
      <c r="U13">
        <v>11.307436869385899</v>
      </c>
      <c r="V13">
        <v>11.877270071140501</v>
      </c>
      <c r="W13">
        <v>12.1713226867515</v>
      </c>
      <c r="X13">
        <v>12.5076949718643</v>
      </c>
      <c r="Y13">
        <v>12.7108665796535</v>
      </c>
      <c r="Z13">
        <v>12.8539540397524</v>
      </c>
      <c r="AA13">
        <v>12.9118574146562</v>
      </c>
      <c r="AB13">
        <v>13.123848947139599</v>
      </c>
      <c r="AC13">
        <v>13.264413463978</v>
      </c>
    </row>
    <row r="14" spans="2:29" x14ac:dyDescent="0.3">
      <c r="D14">
        <v>11</v>
      </c>
      <c r="E14">
        <v>6.5285362434534697</v>
      </c>
      <c r="F14">
        <v>1.30725722215012</v>
      </c>
      <c r="G14">
        <v>0.19924901384056301</v>
      </c>
      <c r="I14">
        <v>2017</v>
      </c>
      <c r="J14">
        <v>1</v>
      </c>
      <c r="K14">
        <v>30</v>
      </c>
      <c r="L14">
        <v>0.55000000000000004</v>
      </c>
      <c r="M14">
        <v>1.8181818181818199</v>
      </c>
      <c r="R14">
        <v>9</v>
      </c>
      <c r="S14">
        <v>8.9223887902808698</v>
      </c>
      <c r="T14">
        <v>9.9716634916798306</v>
      </c>
      <c r="U14">
        <v>10.5129832941114</v>
      </c>
      <c r="V14">
        <v>10.9409973326295</v>
      </c>
      <c r="W14">
        <v>11.1529430513944</v>
      </c>
      <c r="X14">
        <v>11.3874347977572</v>
      </c>
      <c r="Y14">
        <v>11.524743477905</v>
      </c>
      <c r="Z14">
        <v>11.6194015724066</v>
      </c>
      <c r="AA14">
        <v>11.657213225718801</v>
      </c>
      <c r="AB14">
        <v>11.793144687882499</v>
      </c>
      <c r="AC14">
        <v>11.881040005913601</v>
      </c>
    </row>
    <row r="15" spans="2:29" x14ac:dyDescent="0.3">
      <c r="D15">
        <v>12</v>
      </c>
      <c r="E15">
        <v>6.1280595467275196</v>
      </c>
      <c r="F15">
        <v>1.3100902402355701</v>
      </c>
      <c r="G15">
        <v>0.14626185409800799</v>
      </c>
      <c r="I15">
        <v>2018</v>
      </c>
      <c r="J15">
        <v>1</v>
      </c>
      <c r="K15">
        <v>29.2</v>
      </c>
      <c r="L15">
        <v>0.6</v>
      </c>
      <c r="M15">
        <v>1.6666666666666701</v>
      </c>
      <c r="R15">
        <v>10</v>
      </c>
      <c r="S15">
        <v>8.4036022631883398</v>
      </c>
      <c r="T15">
        <v>9.4215952006607804</v>
      </c>
      <c r="U15">
        <v>9.9567209909571606</v>
      </c>
      <c r="V15">
        <v>10.385985623452999</v>
      </c>
      <c r="W15">
        <v>10.600956490422799</v>
      </c>
      <c r="X15">
        <v>10.8409671384153</v>
      </c>
      <c r="Y15">
        <v>10.9827016432096</v>
      </c>
      <c r="Z15">
        <v>11.0809816517681</v>
      </c>
      <c r="AA15">
        <v>11.120379245217499</v>
      </c>
      <c r="AB15">
        <v>11.262716893247299</v>
      </c>
      <c r="AC15">
        <v>11.3553872674219</v>
      </c>
    </row>
    <row r="16" spans="2:29" x14ac:dyDescent="0.3">
      <c r="D16">
        <v>13</v>
      </c>
      <c r="E16">
        <v>5.8125920552459203</v>
      </c>
      <c r="F16">
        <v>1.31582306983885</v>
      </c>
      <c r="G16">
        <v>0.153965205268004</v>
      </c>
      <c r="I16">
        <v>2012</v>
      </c>
      <c r="J16">
        <v>1</v>
      </c>
      <c r="K16">
        <v>27.4</v>
      </c>
      <c r="L16">
        <v>0.65</v>
      </c>
      <c r="M16">
        <v>1.5384615384615401</v>
      </c>
      <c r="R16">
        <v>11</v>
      </c>
      <c r="S16">
        <v>7.9243623675995796</v>
      </c>
      <c r="T16">
        <v>8.9684846530107798</v>
      </c>
      <c r="U16">
        <v>9.54080721449475</v>
      </c>
      <c r="V16">
        <v>10.014957465544599</v>
      </c>
      <c r="W16">
        <v>10.2584478551071</v>
      </c>
      <c r="X16">
        <v>10.535885155218301</v>
      </c>
      <c r="Y16">
        <v>10.702847438875001</v>
      </c>
      <c r="Z16">
        <v>10.820137665217</v>
      </c>
      <c r="AA16">
        <v>10.867529044770301</v>
      </c>
      <c r="AB16">
        <v>11.0406610181219</v>
      </c>
      <c r="AC16">
        <v>11.155119211735601</v>
      </c>
    </row>
    <row r="17" spans="4:29" x14ac:dyDescent="0.3">
      <c r="D17">
        <v>14</v>
      </c>
      <c r="E17">
        <v>5.4884663958248998</v>
      </c>
      <c r="F17">
        <v>1.27209716303057</v>
      </c>
      <c r="G17">
        <v>0.12145524231478499</v>
      </c>
      <c r="I17">
        <v>2013</v>
      </c>
      <c r="J17">
        <v>1</v>
      </c>
      <c r="K17">
        <v>27.2</v>
      </c>
      <c r="L17">
        <v>0.7</v>
      </c>
      <c r="M17">
        <v>1.4285714285714299</v>
      </c>
      <c r="R17">
        <v>12</v>
      </c>
      <c r="S17">
        <v>7.5705330329933798</v>
      </c>
      <c r="T17">
        <v>8.7185133198725708</v>
      </c>
      <c r="U17">
        <v>9.3803310449993091</v>
      </c>
      <c r="V17">
        <v>9.9504233627986398</v>
      </c>
      <c r="W17">
        <v>10.2521911099221</v>
      </c>
      <c r="X17">
        <v>10.6045981251134</v>
      </c>
      <c r="Y17">
        <v>10.8215730292237</v>
      </c>
      <c r="Z17">
        <v>10.976413615884701</v>
      </c>
      <c r="AA17">
        <v>11.0395774704094</v>
      </c>
      <c r="AB17">
        <v>11.2734604862813</v>
      </c>
      <c r="AC17">
        <v>11.430967514418199</v>
      </c>
    </row>
    <row r="18" spans="4:29" x14ac:dyDescent="0.3">
      <c r="D18">
        <v>15</v>
      </c>
      <c r="E18">
        <v>5.2270100190747</v>
      </c>
      <c r="F18">
        <v>1.1859711762751499</v>
      </c>
      <c r="G18">
        <v>6.1918664052716801E-2</v>
      </c>
      <c r="I18">
        <v>2021</v>
      </c>
      <c r="J18">
        <v>1</v>
      </c>
      <c r="K18">
        <v>27.2</v>
      </c>
      <c r="L18">
        <v>0.75</v>
      </c>
      <c r="M18">
        <v>1.3333333333333299</v>
      </c>
      <c r="R18">
        <v>13</v>
      </c>
      <c r="S18">
        <v>7.2548939881217001</v>
      </c>
      <c r="T18">
        <v>8.3924480572500908</v>
      </c>
      <c r="U18">
        <v>9.0434684583627796</v>
      </c>
      <c r="V18">
        <v>9.6010907465979294</v>
      </c>
      <c r="W18">
        <v>9.8949615644640296</v>
      </c>
      <c r="X18">
        <v>10.236920249719599</v>
      </c>
      <c r="Y18">
        <v>10.446765248827401</v>
      </c>
      <c r="Z18">
        <v>10.59617571641</v>
      </c>
      <c r="AA18">
        <v>10.6570399812434</v>
      </c>
      <c r="AB18">
        <v>10.8819665066043</v>
      </c>
      <c r="AC18">
        <v>11.033035311975301</v>
      </c>
    </row>
    <row r="19" spans="4:29" x14ac:dyDescent="0.3">
      <c r="D19">
        <v>16</v>
      </c>
      <c r="E19">
        <v>5.0360620666960898</v>
      </c>
      <c r="F19">
        <v>1.12870210318168</v>
      </c>
      <c r="G19">
        <v>4.4201743002476299E-2</v>
      </c>
      <c r="I19">
        <v>2010</v>
      </c>
      <c r="J19">
        <v>1</v>
      </c>
      <c r="K19">
        <v>26.8</v>
      </c>
      <c r="L19">
        <v>0.8</v>
      </c>
      <c r="M19">
        <v>1.25</v>
      </c>
      <c r="R19">
        <v>14</v>
      </c>
      <c r="S19">
        <v>6.9095536339124797</v>
      </c>
      <c r="T19">
        <v>8.0737829221520006</v>
      </c>
      <c r="U19">
        <v>8.7609729990674605</v>
      </c>
      <c r="V19">
        <v>9.3638224699855002</v>
      </c>
      <c r="W19">
        <v>9.6874804208109992</v>
      </c>
      <c r="X19">
        <v>10.069834231022201</v>
      </c>
      <c r="Y19">
        <v>10.307773001387</v>
      </c>
      <c r="Z19">
        <v>10.4788285427564</v>
      </c>
      <c r="AA19">
        <v>10.5489192206993</v>
      </c>
      <c r="AB19">
        <v>10.8100965444143</v>
      </c>
      <c r="AC19">
        <v>10.987513022714699</v>
      </c>
    </row>
    <row r="20" spans="4:29" x14ac:dyDescent="0.3">
      <c r="D20">
        <v>17</v>
      </c>
      <c r="E20">
        <v>4.8215311422576796</v>
      </c>
      <c r="F20">
        <v>1.0958217811789801</v>
      </c>
      <c r="G20">
        <v>3.6177214359529697E-2</v>
      </c>
      <c r="I20">
        <v>2023</v>
      </c>
      <c r="J20">
        <v>1</v>
      </c>
      <c r="K20">
        <v>24.8</v>
      </c>
      <c r="L20">
        <v>0.85</v>
      </c>
      <c r="M20">
        <v>1.1764705882352899</v>
      </c>
      <c r="R20">
        <v>15</v>
      </c>
      <c r="S20">
        <v>6.5991891370568299</v>
      </c>
      <c r="T20">
        <v>7.80431829135415</v>
      </c>
      <c r="U20">
        <v>8.5569271154056796</v>
      </c>
      <c r="V20">
        <v>9.2467188027498892</v>
      </c>
      <c r="W20">
        <v>9.6298287909151394</v>
      </c>
      <c r="X20">
        <v>10.0951247993941</v>
      </c>
      <c r="Y20">
        <v>10.3921812337273</v>
      </c>
      <c r="Z20">
        <v>10.6095405475586</v>
      </c>
      <c r="AA20">
        <v>10.6995630209592</v>
      </c>
      <c r="AB20">
        <v>11.0401504532588</v>
      </c>
      <c r="AC20">
        <v>11.2763598005579</v>
      </c>
    </row>
    <row r="21" spans="4:29" x14ac:dyDescent="0.3">
      <c r="D21">
        <v>18</v>
      </c>
      <c r="E21">
        <v>4.5996731789116296</v>
      </c>
      <c r="F21">
        <v>1.0746424380031701</v>
      </c>
      <c r="G21">
        <v>2.7729860192739798E-2</v>
      </c>
      <c r="I21">
        <v>2014</v>
      </c>
      <c r="J21">
        <v>1</v>
      </c>
      <c r="K21">
        <v>23.8</v>
      </c>
      <c r="L21">
        <v>0.9</v>
      </c>
      <c r="M21">
        <v>1.1111111111111101</v>
      </c>
      <c r="R21">
        <v>16</v>
      </c>
      <c r="S21">
        <v>6.3557938863516101</v>
      </c>
      <c r="T21">
        <v>7.53908885322695</v>
      </c>
      <c r="U21">
        <v>8.2905400898282906</v>
      </c>
      <c r="V21">
        <v>8.9883021022124492</v>
      </c>
      <c r="W21">
        <v>9.3797618003550092</v>
      </c>
      <c r="X21">
        <v>9.85913550960462</v>
      </c>
      <c r="Y21">
        <v>10.1675154626999</v>
      </c>
      <c r="Z21">
        <v>10.3943482428216</v>
      </c>
      <c r="AA21">
        <v>10.4885937852195</v>
      </c>
      <c r="AB21">
        <v>10.8467785332278</v>
      </c>
      <c r="AC21">
        <v>11.096729429601501</v>
      </c>
    </row>
    <row r="22" spans="4:29" x14ac:dyDescent="0.3">
      <c r="D22">
        <v>19</v>
      </c>
      <c r="E22">
        <v>4.4030237497211901</v>
      </c>
      <c r="F22">
        <v>1.0535299382572401</v>
      </c>
      <c r="G22">
        <v>4.2012001423563199E-2</v>
      </c>
      <c r="I22">
        <v>2008</v>
      </c>
      <c r="J22">
        <v>1</v>
      </c>
      <c r="K22">
        <v>22.2</v>
      </c>
      <c r="L22">
        <v>0.95</v>
      </c>
      <c r="M22">
        <v>1.0526315789473699</v>
      </c>
      <c r="R22">
        <v>17</v>
      </c>
      <c r="S22">
        <v>6.1089545929974198</v>
      </c>
      <c r="T22">
        <v>7.2741466893667699</v>
      </c>
      <c r="U22">
        <v>8.0197303149676493</v>
      </c>
      <c r="V22">
        <v>8.7161408479579308</v>
      </c>
      <c r="W22">
        <v>9.1086275846392599</v>
      </c>
      <c r="X22">
        <v>9.5910578894535501</v>
      </c>
      <c r="Y22">
        <v>9.9024744061772108</v>
      </c>
      <c r="Z22">
        <v>10.1320860908433</v>
      </c>
      <c r="AA22">
        <v>10.227623813117599</v>
      </c>
      <c r="AB22">
        <v>10.591466262777301</v>
      </c>
      <c r="AC22">
        <v>10.846075487962</v>
      </c>
    </row>
    <row r="23" spans="4:29" x14ac:dyDescent="0.3">
      <c r="D23">
        <v>20</v>
      </c>
      <c r="E23">
        <v>4.2473857584552803</v>
      </c>
      <c r="F23">
        <v>1.0385530249852599</v>
      </c>
      <c r="G23">
        <v>6.91677066810122E-2</v>
      </c>
      <c r="I23">
        <v>2024</v>
      </c>
      <c r="J23">
        <v>2</v>
      </c>
      <c r="K23">
        <v>29.7</v>
      </c>
      <c r="L23">
        <v>0.05</v>
      </c>
      <c r="M23">
        <v>20</v>
      </c>
      <c r="R23">
        <v>18</v>
      </c>
      <c r="S23">
        <v>5.8685912389758998</v>
      </c>
      <c r="T23">
        <v>7.0284162631450702</v>
      </c>
      <c r="U23">
        <v>7.7765064286917198</v>
      </c>
      <c r="V23">
        <v>8.4796115683832198</v>
      </c>
      <c r="W23">
        <v>8.8777767670985401</v>
      </c>
      <c r="X23">
        <v>9.3691155739271199</v>
      </c>
      <c r="Y23">
        <v>9.6874339132827707</v>
      </c>
      <c r="Z23">
        <v>9.9227225489065702</v>
      </c>
      <c r="AA23">
        <v>10.020770967054</v>
      </c>
      <c r="AB23">
        <v>10.39498381131</v>
      </c>
      <c r="AC23">
        <v>10.6576210674001</v>
      </c>
    </row>
    <row r="24" spans="4:29" x14ac:dyDescent="0.3">
      <c r="D24">
        <v>21</v>
      </c>
      <c r="E24">
        <v>4.1104702527444203</v>
      </c>
      <c r="F24">
        <v>1.0210674985649899</v>
      </c>
      <c r="G24">
        <v>8.8554500390563701E-2</v>
      </c>
      <c r="I24">
        <v>2022</v>
      </c>
      <c r="J24">
        <v>2</v>
      </c>
      <c r="K24">
        <v>28.1</v>
      </c>
      <c r="L24">
        <v>0.1</v>
      </c>
      <c r="M24">
        <v>10</v>
      </c>
      <c r="R24">
        <v>19</v>
      </c>
      <c r="S24">
        <v>5.63646698235699</v>
      </c>
      <c r="T24">
        <v>6.7452251352386696</v>
      </c>
      <c r="U24">
        <v>7.4507995806612204</v>
      </c>
      <c r="V24">
        <v>8.1070183018379804</v>
      </c>
      <c r="W24">
        <v>8.4756296604281491</v>
      </c>
      <c r="X24">
        <v>8.9274841270959406</v>
      </c>
      <c r="Y24">
        <v>9.2184342434945208</v>
      </c>
      <c r="Z24">
        <v>9.4325852003951791</v>
      </c>
      <c r="AA24">
        <v>9.5215966408226098</v>
      </c>
      <c r="AB24">
        <v>9.8600786047815401</v>
      </c>
      <c r="AC24">
        <v>10.0964604991655</v>
      </c>
    </row>
    <row r="25" spans="4:29" x14ac:dyDescent="0.3">
      <c r="D25">
        <v>22</v>
      </c>
      <c r="E25">
        <v>3.9827585716771301</v>
      </c>
      <c r="F25">
        <v>1.0032321474571799</v>
      </c>
      <c r="G25">
        <v>0.105182708196768</v>
      </c>
      <c r="I25">
        <v>2007</v>
      </c>
      <c r="J25">
        <v>2</v>
      </c>
      <c r="K25">
        <v>25.2</v>
      </c>
      <c r="L25">
        <v>0.15</v>
      </c>
      <c r="M25">
        <v>6.6666666666666696</v>
      </c>
      <c r="R25">
        <v>20</v>
      </c>
      <c r="S25">
        <v>5.4438516932093899</v>
      </c>
      <c r="T25">
        <v>6.4858007925013101</v>
      </c>
      <c r="U25">
        <v>7.1320565394551396</v>
      </c>
      <c r="V25">
        <v>7.72122291362159</v>
      </c>
      <c r="W25">
        <v>8.0470990689991204</v>
      </c>
      <c r="X25">
        <v>8.4415504027220702</v>
      </c>
      <c r="Y25">
        <v>8.6925953026788996</v>
      </c>
      <c r="Z25">
        <v>8.8758932006082603</v>
      </c>
      <c r="AA25">
        <v>8.9517098192139795</v>
      </c>
      <c r="AB25">
        <v>9.2380202208416602</v>
      </c>
      <c r="AC25">
        <v>9.4360858503803406</v>
      </c>
    </row>
    <row r="26" spans="4:29" x14ac:dyDescent="0.3">
      <c r="D26">
        <v>23</v>
      </c>
      <c r="E26">
        <v>3.8648855008843199</v>
      </c>
      <c r="F26">
        <v>0.99499481377180099</v>
      </c>
      <c r="G26">
        <v>0.134837387180784</v>
      </c>
      <c r="I26">
        <v>2013</v>
      </c>
      <c r="J26">
        <v>2</v>
      </c>
      <c r="K26">
        <v>24.3</v>
      </c>
      <c r="L26">
        <v>0.2</v>
      </c>
      <c r="M26">
        <v>5</v>
      </c>
      <c r="R26">
        <v>21</v>
      </c>
      <c r="S26">
        <v>5.2733955308194798</v>
      </c>
      <c r="T26">
        <v>6.2634606950285203</v>
      </c>
      <c r="U26">
        <v>6.8663688396130098</v>
      </c>
      <c r="V26">
        <v>7.40823587522019</v>
      </c>
      <c r="W26">
        <v>7.7046607117031298</v>
      </c>
      <c r="X26">
        <v>8.0602415331638593</v>
      </c>
      <c r="Y26">
        <v>8.2846710619198198</v>
      </c>
      <c r="Z26">
        <v>8.4475968505769305</v>
      </c>
      <c r="AA26">
        <v>8.5147526000819305</v>
      </c>
      <c r="AB26">
        <v>8.7671033349234708</v>
      </c>
      <c r="AC26">
        <v>8.9405010643751108</v>
      </c>
    </row>
    <row r="27" spans="4:29" x14ac:dyDescent="0.3">
      <c r="D27">
        <v>24</v>
      </c>
      <c r="E27">
        <v>3.7843745269990299</v>
      </c>
      <c r="F27">
        <v>0.99519574644439301</v>
      </c>
      <c r="G27">
        <v>0.175747856500553</v>
      </c>
      <c r="I27">
        <v>2017</v>
      </c>
      <c r="J27">
        <v>2</v>
      </c>
      <c r="K27">
        <v>24.1</v>
      </c>
      <c r="L27">
        <v>0.25</v>
      </c>
      <c r="M27">
        <v>4</v>
      </c>
      <c r="R27">
        <v>22</v>
      </c>
      <c r="S27">
        <v>5.1142412453716304</v>
      </c>
      <c r="T27">
        <v>6.0590051943981997</v>
      </c>
      <c r="U27">
        <v>6.6253311559867303</v>
      </c>
      <c r="V27">
        <v>7.1281327860322703</v>
      </c>
      <c r="W27">
        <v>7.4005935547541704</v>
      </c>
      <c r="X27">
        <v>7.7249100444250498</v>
      </c>
      <c r="Y27">
        <v>7.9281491662833501</v>
      </c>
      <c r="Z27">
        <v>8.0749658933173496</v>
      </c>
      <c r="AA27">
        <v>8.1353010082397592</v>
      </c>
      <c r="AB27">
        <v>8.3610615139014808</v>
      </c>
      <c r="AC27">
        <v>8.5152919593422407</v>
      </c>
    </row>
    <row r="28" spans="4:29" x14ac:dyDescent="0.3">
      <c r="I28">
        <v>2011</v>
      </c>
      <c r="J28">
        <v>2</v>
      </c>
      <c r="K28">
        <v>20.6</v>
      </c>
      <c r="L28">
        <v>0.3</v>
      </c>
      <c r="M28">
        <v>3.3333333333333299</v>
      </c>
      <c r="R28">
        <v>23</v>
      </c>
      <c r="S28">
        <v>4.9677496761299</v>
      </c>
      <c r="T28">
        <v>5.8572534908474596</v>
      </c>
      <c r="U28">
        <v>6.3756560447244901</v>
      </c>
      <c r="V28">
        <v>6.8259788456470902</v>
      </c>
      <c r="W28">
        <v>7.0659089522937899</v>
      </c>
      <c r="X28">
        <v>7.3475930481022198</v>
      </c>
      <c r="Y28">
        <v>7.5218789426754302</v>
      </c>
      <c r="Z28">
        <v>7.6466775863060397</v>
      </c>
      <c r="AA28">
        <v>7.6976913015447401</v>
      </c>
      <c r="AB28">
        <v>7.8871352948395304</v>
      </c>
      <c r="AC28">
        <v>8.0152245444342594</v>
      </c>
    </row>
    <row r="29" spans="4:29" x14ac:dyDescent="0.3">
      <c r="I29">
        <v>2021</v>
      </c>
      <c r="J29">
        <v>2</v>
      </c>
      <c r="K29">
        <v>20.100000000000001</v>
      </c>
      <c r="L29">
        <v>0.35</v>
      </c>
      <c r="M29">
        <v>2.8571428571428599</v>
      </c>
      <c r="R29">
        <v>24</v>
      </c>
      <c r="S29">
        <v>4.8615234801954896</v>
      </c>
      <c r="T29">
        <v>5.6897163813341702</v>
      </c>
      <c r="U29">
        <v>6.1539639632945597</v>
      </c>
      <c r="V29">
        <v>6.5452865920008803</v>
      </c>
      <c r="W29">
        <v>6.7489639416647798</v>
      </c>
      <c r="X29">
        <v>6.9835840667994704</v>
      </c>
      <c r="Y29">
        <v>7.1262159699538001</v>
      </c>
      <c r="Z29">
        <v>7.2271159009140202</v>
      </c>
      <c r="AA29">
        <v>7.2680578055608001</v>
      </c>
      <c r="AB29">
        <v>7.4185242308292203</v>
      </c>
      <c r="AC29">
        <v>7.5188176609747703</v>
      </c>
    </row>
    <row r="30" spans="4:29" x14ac:dyDescent="0.3">
      <c r="I30">
        <v>2006</v>
      </c>
      <c r="J30">
        <v>2</v>
      </c>
      <c r="K30">
        <v>20</v>
      </c>
      <c r="L30">
        <v>0.4</v>
      </c>
      <c r="M30">
        <v>2.5</v>
      </c>
    </row>
    <row r="31" spans="4:29" x14ac:dyDescent="0.3">
      <c r="I31">
        <v>2025</v>
      </c>
      <c r="J31">
        <v>2</v>
      </c>
      <c r="K31">
        <v>19.5</v>
      </c>
      <c r="L31">
        <v>0.45</v>
      </c>
      <c r="M31">
        <v>2.2222222222222201</v>
      </c>
      <c r="Q31" t="s">
        <v>16</v>
      </c>
    </row>
    <row r="32" spans="4:29" x14ac:dyDescent="0.3">
      <c r="I32">
        <v>2019</v>
      </c>
      <c r="J32">
        <v>2</v>
      </c>
      <c r="K32">
        <v>19.3</v>
      </c>
      <c r="L32">
        <v>0.5</v>
      </c>
      <c r="M32">
        <v>2</v>
      </c>
    </row>
    <row r="33" spans="9:29" x14ac:dyDescent="0.3">
      <c r="I33">
        <v>2020</v>
      </c>
      <c r="J33">
        <v>2</v>
      </c>
      <c r="K33">
        <v>19.3</v>
      </c>
      <c r="L33">
        <v>0.55000000000000004</v>
      </c>
      <c r="M33">
        <v>1.8181818181818199</v>
      </c>
      <c r="Q33" t="s">
        <v>17</v>
      </c>
      <c r="V33" t="s">
        <v>18</v>
      </c>
      <c r="W33">
        <v>0</v>
      </c>
    </row>
    <row r="34" spans="9:29" x14ac:dyDescent="0.3">
      <c r="I34">
        <v>2008</v>
      </c>
      <c r="J34">
        <v>2</v>
      </c>
      <c r="K34">
        <v>19.2</v>
      </c>
      <c r="L34">
        <v>0.6</v>
      </c>
      <c r="M34">
        <v>1.6666666666666701</v>
      </c>
      <c r="W34" s="1"/>
    </row>
    <row r="35" spans="9:29" x14ac:dyDescent="0.3">
      <c r="I35">
        <v>2015</v>
      </c>
      <c r="J35">
        <v>2</v>
      </c>
      <c r="K35">
        <v>18.7</v>
      </c>
      <c r="L35">
        <v>0.65</v>
      </c>
      <c r="M35">
        <v>1.5384615384615401</v>
      </c>
      <c r="R35">
        <f xml:space="preserve"> LOG(R6 + $W$33)</f>
        <v>0</v>
      </c>
      <c r="S35" cm="1">
        <f t="array" ref="S35:AC58">LOG(S6:AC29)</f>
        <v>1.5673910083596141</v>
      </c>
      <c r="T35">
        <v>1.638902864151726</v>
      </c>
      <c r="U35">
        <v>1.6784043253725176</v>
      </c>
      <c r="V35">
        <v>1.7118086130647381</v>
      </c>
      <c r="W35">
        <v>1.7293527851516157</v>
      </c>
      <c r="X35">
        <v>1.7497915569754037</v>
      </c>
      <c r="Y35">
        <v>1.7623785858713872</v>
      </c>
      <c r="Z35">
        <v>1.7713748668361593</v>
      </c>
      <c r="AA35">
        <v>1.775049897535065</v>
      </c>
      <c r="AB35">
        <v>1.7886946833372646</v>
      </c>
      <c r="AC35">
        <v>1.7979266341245428</v>
      </c>
    </row>
    <row r="36" spans="9:29" x14ac:dyDescent="0.3">
      <c r="I36">
        <v>2012</v>
      </c>
      <c r="J36">
        <v>2</v>
      </c>
      <c r="K36">
        <v>18.5</v>
      </c>
      <c r="L36">
        <v>0.7</v>
      </c>
      <c r="M36">
        <v>1.4285714285714299</v>
      </c>
      <c r="R36">
        <f t="shared" ref="R36:R58" si="0" xml:space="preserve"> LOG(R7 + $W$33)</f>
        <v>0.3010299956639812</v>
      </c>
      <c r="S36">
        <v>1.3461759156972475</v>
      </c>
      <c r="T36">
        <v>1.417078869797179</v>
      </c>
      <c r="U36">
        <v>1.4619954317192758</v>
      </c>
      <c r="V36">
        <v>1.5037870032225673</v>
      </c>
      <c r="W36">
        <v>1.527314521810051</v>
      </c>
      <c r="X36">
        <v>1.556243734320945</v>
      </c>
      <c r="Y36">
        <v>1.5749390843079822</v>
      </c>
      <c r="Z36">
        <v>1.5887404925964674</v>
      </c>
      <c r="AA36">
        <v>1.5944883013247992</v>
      </c>
      <c r="AB36">
        <v>1.6164121419228261</v>
      </c>
      <c r="AC36">
        <v>1.6317916924384741</v>
      </c>
    </row>
    <row r="37" spans="9:29" x14ac:dyDescent="0.3">
      <c r="I37">
        <v>2009</v>
      </c>
      <c r="J37">
        <v>2</v>
      </c>
      <c r="K37">
        <v>18.100000000000001</v>
      </c>
      <c r="L37">
        <v>0.75</v>
      </c>
      <c r="M37">
        <v>1.3333333333333299</v>
      </c>
      <c r="R37">
        <f t="shared" si="0"/>
        <v>0.47712125471966244</v>
      </c>
      <c r="S37">
        <v>1.2273481010077683</v>
      </c>
      <c r="T37">
        <v>1.2900701998212811</v>
      </c>
      <c r="U37">
        <v>1.3275443423772233</v>
      </c>
      <c r="V37">
        <v>1.3609884889909254</v>
      </c>
      <c r="W37">
        <v>1.3792517663024459</v>
      </c>
      <c r="X37">
        <v>1.4011795463263796</v>
      </c>
      <c r="Y37">
        <v>1.4150520539588951</v>
      </c>
      <c r="Z37">
        <v>1.4251477812787721</v>
      </c>
      <c r="AA37">
        <v>1.4293166203063492</v>
      </c>
      <c r="AB37">
        <v>1.4450292547886205</v>
      </c>
      <c r="AC37">
        <v>1.4558772281933572</v>
      </c>
    </row>
    <row r="38" spans="9:29" x14ac:dyDescent="0.3">
      <c r="I38">
        <v>2018</v>
      </c>
      <c r="J38">
        <v>2</v>
      </c>
      <c r="K38">
        <v>16.899999999999999</v>
      </c>
      <c r="L38">
        <v>0.8</v>
      </c>
      <c r="M38">
        <v>1.25</v>
      </c>
      <c r="R38">
        <f t="shared" si="0"/>
        <v>0.6020599913279624</v>
      </c>
      <c r="S38">
        <v>1.1450153605784601</v>
      </c>
      <c r="T38">
        <v>1.1954570667468041</v>
      </c>
      <c r="U38">
        <v>1.2211571560738879</v>
      </c>
      <c r="V38">
        <v>1.241570740719087</v>
      </c>
      <c r="W38">
        <v>1.2517776667863489</v>
      </c>
      <c r="X38">
        <v>1.2631999715056257</v>
      </c>
      <c r="Y38">
        <v>1.2699747417649214</v>
      </c>
      <c r="Z38">
        <v>1.2746922023482672</v>
      </c>
      <c r="AA38">
        <v>1.2765889188039228</v>
      </c>
      <c r="AB38">
        <v>1.2834742163382342</v>
      </c>
      <c r="AC38">
        <v>1.2879901213225522</v>
      </c>
    </row>
    <row r="39" spans="9:29" x14ac:dyDescent="0.3">
      <c r="I39">
        <v>2014</v>
      </c>
      <c r="J39">
        <v>2</v>
      </c>
      <c r="K39">
        <v>16.5</v>
      </c>
      <c r="L39">
        <v>0.85</v>
      </c>
      <c r="M39">
        <v>1.1764705882352899</v>
      </c>
      <c r="R39">
        <f t="shared" si="0"/>
        <v>0.69897000433601886</v>
      </c>
      <c r="S39">
        <v>1.0927667677411477</v>
      </c>
      <c r="T39">
        <v>1.1401238663121163</v>
      </c>
      <c r="U39">
        <v>1.1622645507430363</v>
      </c>
      <c r="V39">
        <v>1.1787693763575795</v>
      </c>
      <c r="W39">
        <v>1.186627353292572</v>
      </c>
      <c r="X39">
        <v>1.1950820743037811</v>
      </c>
      <c r="Y39">
        <v>1.1999164818079606</v>
      </c>
      <c r="Z39">
        <v>1.2031990104052077</v>
      </c>
      <c r="AA39">
        <v>1.2044987153731233</v>
      </c>
      <c r="AB39">
        <v>1.2091163463852168</v>
      </c>
      <c r="AC39">
        <v>1.2120560471363524</v>
      </c>
    </row>
    <row r="40" spans="9:29" x14ac:dyDescent="0.3">
      <c r="I40">
        <v>2010</v>
      </c>
      <c r="J40">
        <v>2</v>
      </c>
      <c r="K40">
        <v>15.6</v>
      </c>
      <c r="L40">
        <v>0.9</v>
      </c>
      <c r="M40">
        <v>1.1111111111111101</v>
      </c>
      <c r="R40">
        <f t="shared" si="0"/>
        <v>0.77815125038364363</v>
      </c>
      <c r="S40">
        <v>1.0455187516194202</v>
      </c>
      <c r="T40">
        <v>1.0948920315731854</v>
      </c>
      <c r="U40">
        <v>1.1188647946478274</v>
      </c>
      <c r="V40">
        <v>1.1372462253945519</v>
      </c>
      <c r="W40">
        <v>1.1461916485858814</v>
      </c>
      <c r="X40">
        <v>1.1559877710770026</v>
      </c>
      <c r="Y40">
        <v>1.161682416836018</v>
      </c>
      <c r="Z40">
        <v>1.1655933420705187</v>
      </c>
      <c r="AA40">
        <v>1.1671526407876271</v>
      </c>
      <c r="AB40">
        <v>1.1727467686020061</v>
      </c>
      <c r="AC40">
        <v>1.176356605201198</v>
      </c>
    </row>
    <row r="41" spans="9:29" x14ac:dyDescent="0.3">
      <c r="I41">
        <v>2023</v>
      </c>
      <c r="J41">
        <v>2</v>
      </c>
      <c r="K41">
        <v>14.9</v>
      </c>
      <c r="L41">
        <v>0.95</v>
      </c>
      <c r="M41">
        <v>1.0526315789473699</v>
      </c>
      <c r="R41">
        <f t="shared" si="0"/>
        <v>0.84509804001425681</v>
      </c>
      <c r="S41">
        <v>1.00995515155593</v>
      </c>
      <c r="T41">
        <v>1.0625033080658957</v>
      </c>
      <c r="U41">
        <v>1.0876111132962218</v>
      </c>
      <c r="V41">
        <v>1.1066588675851361</v>
      </c>
      <c r="W41">
        <v>1.1158570096630511</v>
      </c>
      <c r="X41">
        <v>1.1258701117680807</v>
      </c>
      <c r="Y41">
        <v>1.1316595868909338</v>
      </c>
      <c r="Z41">
        <v>1.1356212165966337</v>
      </c>
      <c r="AA41">
        <v>1.1371972872678635</v>
      </c>
      <c r="AB41">
        <v>1.1428345102973905</v>
      </c>
      <c r="AC41">
        <v>1.1464571239446977</v>
      </c>
    </row>
    <row r="42" spans="9:29" x14ac:dyDescent="0.3">
      <c r="I42">
        <v>2024</v>
      </c>
      <c r="J42">
        <v>3</v>
      </c>
      <c r="K42">
        <v>21.466666666666701</v>
      </c>
      <c r="L42">
        <v>0.05</v>
      </c>
      <c r="M42">
        <v>20</v>
      </c>
      <c r="R42">
        <f t="shared" si="0"/>
        <v>0.90308998699194354</v>
      </c>
      <c r="S42">
        <v>0.97252458714807299</v>
      </c>
      <c r="T42">
        <v>1.02628415484097</v>
      </c>
      <c r="U42">
        <v>1.0533641717127713</v>
      </c>
      <c r="V42">
        <v>1.0747166317831853</v>
      </c>
      <c r="W42">
        <v>1.0853377766149204</v>
      </c>
      <c r="X42">
        <v>1.0971772814570917</v>
      </c>
      <c r="Y42">
        <v>1.1041751601474192</v>
      </c>
      <c r="Z42">
        <v>1.1090367427256489</v>
      </c>
      <c r="AA42">
        <v>1.1109887215005227</v>
      </c>
      <c r="AB42">
        <v>1.1180612231006852</v>
      </c>
      <c r="AC42">
        <v>1.122688050775972</v>
      </c>
    </row>
    <row r="43" spans="9:29" x14ac:dyDescent="0.3">
      <c r="I43">
        <v>2013</v>
      </c>
      <c r="J43">
        <v>3</v>
      </c>
      <c r="K43">
        <v>19.866666666666699</v>
      </c>
      <c r="L43">
        <v>0.1</v>
      </c>
      <c r="M43">
        <v>10</v>
      </c>
      <c r="R43">
        <f t="shared" si="0"/>
        <v>0.95424250943932487</v>
      </c>
      <c r="S43">
        <v>0.95048114356315949</v>
      </c>
      <c r="T43">
        <v>0.998767614178662</v>
      </c>
      <c r="U43">
        <v>1.0217259742890747</v>
      </c>
      <c r="V43">
        <v>1.0390569121542343</v>
      </c>
      <c r="W43">
        <v>1.0473894846331244</v>
      </c>
      <c r="X43">
        <v>1.0564259033022116</v>
      </c>
      <c r="Y43">
        <v>1.0616312674785886</v>
      </c>
      <c r="Z43">
        <v>1.0651837614024962</v>
      </c>
      <c r="AA43">
        <v>1.0665947403590155</v>
      </c>
      <c r="AB43">
        <v>1.0716296268500627</v>
      </c>
      <c r="AC43">
        <v>1.0748544582428556</v>
      </c>
    </row>
    <row r="44" spans="9:29" x14ac:dyDescent="0.3">
      <c r="I44">
        <v>2022</v>
      </c>
      <c r="J44">
        <v>3</v>
      </c>
      <c r="K44">
        <v>18.933333333333302</v>
      </c>
      <c r="L44">
        <v>0.15</v>
      </c>
      <c r="M44">
        <v>6.6666666666666696</v>
      </c>
      <c r="R44">
        <f t="shared" si="0"/>
        <v>1</v>
      </c>
      <c r="S44">
        <v>0.92446548935621364</v>
      </c>
      <c r="T44">
        <v>0.97412444081752791</v>
      </c>
      <c r="U44">
        <v>0.99811633741997641</v>
      </c>
      <c r="V44">
        <v>1.0164477170979214</v>
      </c>
      <c r="W44">
        <v>1.0253450520357148</v>
      </c>
      <c r="X44">
        <v>1.0350680279718347</v>
      </c>
      <c r="Y44">
        <v>1.0407091856891739</v>
      </c>
      <c r="Z44">
        <v>1.0445782357589821</v>
      </c>
      <c r="AA44">
        <v>1.0461195985137286</v>
      </c>
      <c r="AB44">
        <v>1.0516431675505793</v>
      </c>
      <c r="AC44">
        <v>1.0552019501133367</v>
      </c>
    </row>
    <row r="45" spans="9:29" x14ac:dyDescent="0.3">
      <c r="I45">
        <v>2017</v>
      </c>
      <c r="J45">
        <v>3</v>
      </c>
      <c r="K45">
        <v>18.600000000000001</v>
      </c>
      <c r="L45">
        <v>0.2</v>
      </c>
      <c r="M45">
        <v>5</v>
      </c>
      <c r="R45">
        <f t="shared" si="0"/>
        <v>1.0413926851582251</v>
      </c>
      <c r="S45">
        <v>0.89896432686785155</v>
      </c>
      <c r="T45">
        <v>0.95271906930602202</v>
      </c>
      <c r="U45">
        <v>0.97958512040327339</v>
      </c>
      <c r="V45">
        <v>1.0006491091444729</v>
      </c>
      <c r="W45">
        <v>1.0110816552245641</v>
      </c>
      <c r="X45">
        <v>1.0226710280199003</v>
      </c>
      <c r="Y45">
        <v>1.0294993349260673</v>
      </c>
      <c r="Z45">
        <v>1.034232786358698</v>
      </c>
      <c r="AA45">
        <v>1.036130809568337</v>
      </c>
      <c r="AB45">
        <v>1.042995075922962</v>
      </c>
      <c r="AC45">
        <v>1.0474742158320758</v>
      </c>
    </row>
    <row r="46" spans="9:29" x14ac:dyDescent="0.3">
      <c r="I46">
        <v>2007</v>
      </c>
      <c r="J46">
        <v>3</v>
      </c>
      <c r="K46">
        <v>17.866666666666699</v>
      </c>
      <c r="L46">
        <v>0.25</v>
      </c>
      <c r="M46">
        <v>4</v>
      </c>
      <c r="R46">
        <f t="shared" si="0"/>
        <v>1.0791812460476249</v>
      </c>
      <c r="S46">
        <v>0.87912645877852857</v>
      </c>
      <c r="T46">
        <v>0.94044243538884542</v>
      </c>
      <c r="U46">
        <v>0.97221816550907425</v>
      </c>
      <c r="V46">
        <v>0.997841559159372</v>
      </c>
      <c r="W46">
        <v>1.010816693221436</v>
      </c>
      <c r="X46">
        <v>1.0254942150164013</v>
      </c>
      <c r="Y46">
        <v>1.0342903946205722</v>
      </c>
      <c r="Z46">
        <v>1.0404604638612058</v>
      </c>
      <c r="AA46">
        <v>1.0429524514927015</v>
      </c>
      <c r="AB46">
        <v>1.0520572469612417</v>
      </c>
      <c r="AC46">
        <v>1.0580829905344116</v>
      </c>
    </row>
    <row r="47" spans="9:29" x14ac:dyDescent="0.3">
      <c r="I47">
        <v>2021</v>
      </c>
      <c r="J47">
        <v>3</v>
      </c>
      <c r="K47">
        <v>16.6666666666667</v>
      </c>
      <c r="L47">
        <v>0.3</v>
      </c>
      <c r="M47">
        <v>3.3333333333333299</v>
      </c>
      <c r="R47">
        <f t="shared" si="0"/>
        <v>1.1139433523068367</v>
      </c>
      <c r="S47">
        <v>0.86063107070757383</v>
      </c>
      <c r="T47">
        <v>0.92388866198207331</v>
      </c>
      <c r="U47">
        <v>0.95633502819964467</v>
      </c>
      <c r="V47">
        <v>0.98232057453119481</v>
      </c>
      <c r="W47">
        <v>0.99541411159207649</v>
      </c>
      <c r="X47">
        <v>1.0101693199477517</v>
      </c>
      <c r="Y47">
        <v>1.0189818357045246</v>
      </c>
      <c r="Z47">
        <v>1.0251491515914537</v>
      </c>
      <c r="AA47">
        <v>1.0276365950916866</v>
      </c>
      <c r="AB47">
        <v>1.0367073848652986</v>
      </c>
      <c r="AC47">
        <v>1.0426950081697133</v>
      </c>
    </row>
    <row r="48" spans="9:29" x14ac:dyDescent="0.3">
      <c r="I48">
        <v>2012</v>
      </c>
      <c r="J48">
        <v>3</v>
      </c>
      <c r="K48">
        <v>15.6666666666667</v>
      </c>
      <c r="L48">
        <v>0.35</v>
      </c>
      <c r="M48">
        <v>2.8571428571428599</v>
      </c>
      <c r="R48">
        <f t="shared" si="0"/>
        <v>1.146128035678238</v>
      </c>
      <c r="S48">
        <v>0.83944999229602124</v>
      </c>
      <c r="T48">
        <v>0.90707706846060943</v>
      </c>
      <c r="U48">
        <v>0.94255234185982595</v>
      </c>
      <c r="V48">
        <v>0.97145317125306363</v>
      </c>
      <c r="W48">
        <v>0.98621083777064167</v>
      </c>
      <c r="X48">
        <v>1.0030223212840157</v>
      </c>
      <c r="Y48">
        <v>1.013164845915874</v>
      </c>
      <c r="Z48">
        <v>1.0203127343792611</v>
      </c>
      <c r="AA48">
        <v>1.0232079666924427</v>
      </c>
      <c r="AB48">
        <v>1.0338295726322333</v>
      </c>
      <c r="AC48">
        <v>1.0408994028203751</v>
      </c>
    </row>
    <row r="49" spans="9:29" x14ac:dyDescent="0.3">
      <c r="I49">
        <v>2014</v>
      </c>
      <c r="J49">
        <v>3</v>
      </c>
      <c r="K49">
        <v>15.533333333333299</v>
      </c>
      <c r="L49">
        <v>0.4</v>
      </c>
      <c r="M49">
        <v>2.5</v>
      </c>
      <c r="R49">
        <f t="shared" si="0"/>
        <v>1.1760912590556813</v>
      </c>
      <c r="S49">
        <v>0.81949057570308081</v>
      </c>
      <c r="T49">
        <v>0.89233497335188539</v>
      </c>
      <c r="U49">
        <v>0.93231783285268754</v>
      </c>
      <c r="V49">
        <v>0.96598765072157822</v>
      </c>
      <c r="W49">
        <v>0.98361856585539809</v>
      </c>
      <c r="X49">
        <v>1.004111692210137</v>
      </c>
      <c r="Y49">
        <v>1.0167067119796538</v>
      </c>
      <c r="Z49">
        <v>1.0256965769286279</v>
      </c>
      <c r="AA49">
        <v>1.0293660411000309</v>
      </c>
      <c r="AB49">
        <v>1.0429749919235107</v>
      </c>
      <c r="AC49">
        <v>1.0521689246759687</v>
      </c>
    </row>
    <row r="50" spans="9:29" x14ac:dyDescent="0.3">
      <c r="I50">
        <v>2008</v>
      </c>
      <c r="J50">
        <v>3</v>
      </c>
      <c r="K50">
        <v>15.4</v>
      </c>
      <c r="L50">
        <v>0.45</v>
      </c>
      <c r="M50">
        <v>2.2222222222222201</v>
      </c>
      <c r="R50">
        <f t="shared" si="0"/>
        <v>1.2041199826559248</v>
      </c>
      <c r="S50">
        <v>0.80316980491804157</v>
      </c>
      <c r="T50">
        <v>0.87731886179463225</v>
      </c>
      <c r="U50">
        <v>0.91858282372178313</v>
      </c>
      <c r="V50">
        <v>0.95367766088982997</v>
      </c>
      <c r="W50">
        <v>0.97219180958322826</v>
      </c>
      <c r="X50">
        <v>0.99383883584708155</v>
      </c>
      <c r="Y50">
        <v>1.0072148415497144</v>
      </c>
      <c r="Z50">
        <v>1.0167972629392414</v>
      </c>
      <c r="AA50">
        <v>1.0207172658620987</v>
      </c>
      <c r="AB50">
        <v>1.035300772932777</v>
      </c>
      <c r="AC50">
        <v>1.0451949968070124</v>
      </c>
    </row>
    <row r="51" spans="9:29" x14ac:dyDescent="0.3">
      <c r="I51">
        <v>2019</v>
      </c>
      <c r="J51">
        <v>3</v>
      </c>
      <c r="K51">
        <v>15</v>
      </c>
      <c r="L51">
        <v>0.5</v>
      </c>
      <c r="M51">
        <v>2</v>
      </c>
      <c r="R51">
        <f t="shared" si="0"/>
        <v>1.2304489213782739</v>
      </c>
      <c r="S51">
        <v>0.78596689709404122</v>
      </c>
      <c r="T51">
        <v>0.86178205472531821</v>
      </c>
      <c r="U51">
        <v>0.90415976420802091</v>
      </c>
      <c r="V51">
        <v>0.9403242395866872</v>
      </c>
      <c r="W51">
        <v>0.95945294587327279</v>
      </c>
      <c r="X51">
        <v>0.98186651230240907</v>
      </c>
      <c r="Y51">
        <v>0.99574372860519977</v>
      </c>
      <c r="Z51">
        <v>1.0056988712704393</v>
      </c>
      <c r="AA51">
        <v>1.0097747456652331</v>
      </c>
      <c r="AB51">
        <v>1.0249560871852159</v>
      </c>
      <c r="AC51">
        <v>1.0352726227705831</v>
      </c>
    </row>
    <row r="52" spans="9:29" x14ac:dyDescent="0.3">
      <c r="I52">
        <v>2015</v>
      </c>
      <c r="J52">
        <v>3</v>
      </c>
      <c r="K52">
        <v>14.733333333333301</v>
      </c>
      <c r="L52">
        <v>0.55000000000000004</v>
      </c>
      <c r="M52">
        <v>1.8181818181818199</v>
      </c>
      <c r="R52">
        <f t="shared" si="0"/>
        <v>1.255272505103306</v>
      </c>
      <c r="S52">
        <v>0.76853386094661602</v>
      </c>
      <c r="T52">
        <v>0.8468574749964759</v>
      </c>
      <c r="U52">
        <v>0.89078453535759528</v>
      </c>
      <c r="V52">
        <v>0.92837595867517586</v>
      </c>
      <c r="W52">
        <v>0.94830422043296481</v>
      </c>
      <c r="X52">
        <v>0.97169859627820099</v>
      </c>
      <c r="Y52">
        <v>0.98620875281041653</v>
      </c>
      <c r="Z52">
        <v>0.9966308481363394</v>
      </c>
      <c r="AA52">
        <v>1.0009011360877824</v>
      </c>
      <c r="AB52">
        <v>1.0168238173169146</v>
      </c>
      <c r="AC52">
        <v>1.0276602748031163</v>
      </c>
    </row>
    <row r="53" spans="9:29" x14ac:dyDescent="0.3">
      <c r="I53">
        <v>2006</v>
      </c>
      <c r="J53">
        <v>3</v>
      </c>
      <c r="K53">
        <v>13.9333333333333</v>
      </c>
      <c r="L53">
        <v>0.6</v>
      </c>
      <c r="M53">
        <v>1.6666666666666701</v>
      </c>
      <c r="R53">
        <f t="shared" si="0"/>
        <v>1.2787536009528289</v>
      </c>
      <c r="S53">
        <v>0.75100696730801075</v>
      </c>
      <c r="T53">
        <v>0.82899644968770081</v>
      </c>
      <c r="U53">
        <v>0.87220288145106184</v>
      </c>
      <c r="V53">
        <v>0.90886115345125595</v>
      </c>
      <c r="W53">
        <v>0.92817197211305158</v>
      </c>
      <c r="X53">
        <v>0.95072908669783296</v>
      </c>
      <c r="Y53">
        <v>0.96465716214297692</v>
      </c>
      <c r="Z53">
        <v>0.97463073668187172</v>
      </c>
      <c r="AA53">
        <v>0.97870977970356443</v>
      </c>
      <c r="AB53">
        <v>0.99388037716096789</v>
      </c>
      <c r="AC53">
        <v>1.0041691505060029</v>
      </c>
    </row>
    <row r="54" spans="9:29" x14ac:dyDescent="0.3">
      <c r="I54">
        <v>2011</v>
      </c>
      <c r="J54">
        <v>3</v>
      </c>
      <c r="K54">
        <v>13.8</v>
      </c>
      <c r="L54">
        <v>0.65</v>
      </c>
      <c r="M54">
        <v>1.5384615384615401</v>
      </c>
      <c r="R54">
        <f t="shared" si="0"/>
        <v>1.3010299956639813</v>
      </c>
      <c r="S54">
        <v>0.73590628521275792</v>
      </c>
      <c r="T54">
        <v>0.81196360544610524</v>
      </c>
      <c r="U54">
        <v>0.85321477739115315</v>
      </c>
      <c r="V54">
        <v>0.8876860908249069</v>
      </c>
      <c r="W54">
        <v>0.90563934802197155</v>
      </c>
      <c r="X54">
        <v>0.92642221789461476</v>
      </c>
      <c r="Y54">
        <v>0.93914946083941064</v>
      </c>
      <c r="Z54">
        <v>0.94821206793293711</v>
      </c>
      <c r="AA54">
        <v>0.95190599555372613</v>
      </c>
      <c r="AB54">
        <v>0.96557890852649908</v>
      </c>
      <c r="AC54">
        <v>0.97479188348282897</v>
      </c>
    </row>
    <row r="55" spans="9:29" x14ac:dyDescent="0.3">
      <c r="I55">
        <v>2020</v>
      </c>
      <c r="J55">
        <v>3</v>
      </c>
      <c r="K55">
        <v>13.733333333333301</v>
      </c>
      <c r="L55">
        <v>0.7</v>
      </c>
      <c r="M55">
        <v>1.4285714285714299</v>
      </c>
      <c r="R55">
        <f t="shared" si="0"/>
        <v>1.3222192947339193</v>
      </c>
      <c r="S55">
        <v>0.72209034679327022</v>
      </c>
      <c r="T55">
        <v>0.7968143564483019</v>
      </c>
      <c r="U55">
        <v>0.83672712864205356</v>
      </c>
      <c r="V55">
        <v>0.86971480165386117</v>
      </c>
      <c r="W55">
        <v>0.88675351855353113</v>
      </c>
      <c r="X55">
        <v>0.9063480560667011</v>
      </c>
      <c r="Y55">
        <v>0.9182752696860641</v>
      </c>
      <c r="Z55">
        <v>0.92673317960408264</v>
      </c>
      <c r="AA55">
        <v>0.9301720338629007</v>
      </c>
      <c r="AB55">
        <v>0.94285612546874031</v>
      </c>
      <c r="AC55">
        <v>0.95136185922043515</v>
      </c>
    </row>
    <row r="56" spans="9:29" x14ac:dyDescent="0.3">
      <c r="I56">
        <v>2009</v>
      </c>
      <c r="J56">
        <v>3</v>
      </c>
      <c r="K56">
        <v>13.533333333333299</v>
      </c>
      <c r="L56">
        <v>0.75</v>
      </c>
      <c r="M56">
        <v>1.3333333333333299</v>
      </c>
      <c r="R56">
        <f t="shared" si="0"/>
        <v>1.3424226808222062</v>
      </c>
      <c r="S56">
        <v>0.70878121040571374</v>
      </c>
      <c r="T56">
        <v>0.78240132481828384</v>
      </c>
      <c r="U56">
        <v>0.82120759062746373</v>
      </c>
      <c r="V56">
        <v>0.85297578133520879</v>
      </c>
      <c r="W56">
        <v>0.86926655313865386</v>
      </c>
      <c r="X56">
        <v>0.88789343082343763</v>
      </c>
      <c r="Y56">
        <v>0.89917181270379698</v>
      </c>
      <c r="Z56">
        <v>0.90714069665325159</v>
      </c>
      <c r="AA56">
        <v>0.9103736265782314</v>
      </c>
      <c r="AB56">
        <v>0.92226141863087352</v>
      </c>
      <c r="AC56">
        <v>0.93019954298065755</v>
      </c>
    </row>
    <row r="57" spans="9:29" x14ac:dyDescent="0.3">
      <c r="I57">
        <v>2025</v>
      </c>
      <c r="J57">
        <v>3</v>
      </c>
      <c r="K57">
        <v>13</v>
      </c>
      <c r="L57">
        <v>0.8</v>
      </c>
      <c r="M57">
        <v>1.25</v>
      </c>
      <c r="R57">
        <f t="shared" si="0"/>
        <v>1.3617278360175928</v>
      </c>
      <c r="S57">
        <v>0.69615970371150449</v>
      </c>
      <c r="T57">
        <v>0.76769401987805286</v>
      </c>
      <c r="U57">
        <v>0.80452487960709007</v>
      </c>
      <c r="V57">
        <v>0.83416493802510272</v>
      </c>
      <c r="W57">
        <v>0.84916803703724275</v>
      </c>
      <c r="X57">
        <v>0.86614509457744659</v>
      </c>
      <c r="Y57">
        <v>0.87632633959540451</v>
      </c>
      <c r="Z57">
        <v>0.88347277902898724</v>
      </c>
      <c r="AA57">
        <v>0.88636049071234424</v>
      </c>
      <c r="AB57">
        <v>0.896919290718034</v>
      </c>
      <c r="AC57">
        <v>0.90391569350772472</v>
      </c>
    </row>
    <row r="58" spans="9:29" x14ac:dyDescent="0.3">
      <c r="I58">
        <v>2023</v>
      </c>
      <c r="J58">
        <v>3</v>
      </c>
      <c r="K58">
        <v>12.6</v>
      </c>
      <c r="L58">
        <v>0.85</v>
      </c>
      <c r="M58">
        <v>1.1764705882352899</v>
      </c>
      <c r="R58">
        <f t="shared" si="0"/>
        <v>1.3802112417116059</v>
      </c>
      <c r="S58">
        <v>0.68677238764928372</v>
      </c>
      <c r="T58">
        <v>0.75509061840008918</v>
      </c>
      <c r="U58">
        <v>0.78915494875444547</v>
      </c>
      <c r="V58">
        <v>0.81592866732674096</v>
      </c>
      <c r="W58">
        <v>0.82923710780091686</v>
      </c>
      <c r="X58">
        <v>0.84407836545223969</v>
      </c>
      <c r="Y58">
        <v>0.85285898011686179</v>
      </c>
      <c r="Z58">
        <v>0.85896501953380677</v>
      </c>
      <c r="AA58">
        <v>0.86141837275490774</v>
      </c>
      <c r="AB58">
        <v>0.87031751954422276</v>
      </c>
      <c r="AC58">
        <v>0.87614955286756313</v>
      </c>
    </row>
    <row r="59" spans="9:29" x14ac:dyDescent="0.3">
      <c r="I59">
        <v>2010</v>
      </c>
      <c r="J59">
        <v>3</v>
      </c>
      <c r="K59">
        <v>12</v>
      </c>
      <c r="L59">
        <v>0.9</v>
      </c>
      <c r="M59">
        <v>1.1111111111111101</v>
      </c>
    </row>
    <row r="60" spans="9:29" x14ac:dyDescent="0.3">
      <c r="I60">
        <v>2018</v>
      </c>
      <c r="J60">
        <v>3</v>
      </c>
      <c r="K60">
        <v>11.733333333333301</v>
      </c>
      <c r="L60">
        <v>0.95</v>
      </c>
      <c r="M60">
        <v>1.0526315789473699</v>
      </c>
    </row>
    <row r="61" spans="9:29" x14ac:dyDescent="0.3">
      <c r="I61">
        <v>2024</v>
      </c>
      <c r="J61">
        <v>4</v>
      </c>
      <c r="K61">
        <v>17</v>
      </c>
      <c r="L61">
        <v>0.05</v>
      </c>
      <c r="M61">
        <v>20</v>
      </c>
      <c r="Q61" t="s">
        <v>19</v>
      </c>
    </row>
    <row r="62" spans="9:29" x14ac:dyDescent="0.3">
      <c r="I62">
        <v>2013</v>
      </c>
      <c r="J62">
        <v>4</v>
      </c>
      <c r="K62">
        <v>15.9</v>
      </c>
      <c r="L62">
        <v>0.1</v>
      </c>
      <c r="M62">
        <v>10</v>
      </c>
    </row>
    <row r="63" spans="9:29" x14ac:dyDescent="0.3">
      <c r="I63">
        <v>2017</v>
      </c>
      <c r="J63">
        <v>4</v>
      </c>
      <c r="K63">
        <v>14.95</v>
      </c>
      <c r="L63">
        <v>0.15</v>
      </c>
      <c r="M63">
        <v>6.6666666666666696</v>
      </c>
      <c r="Q63" t="s">
        <v>20</v>
      </c>
      <c r="R63">
        <f xml:space="preserve"> COUNT(R35:R58)</f>
        <v>24</v>
      </c>
    </row>
    <row r="64" spans="9:29" x14ac:dyDescent="0.3">
      <c r="I64">
        <v>2022</v>
      </c>
      <c r="J64">
        <v>4</v>
      </c>
      <c r="K64">
        <v>14.55</v>
      </c>
      <c r="L64">
        <v>0.2</v>
      </c>
      <c r="M64">
        <v>5</v>
      </c>
      <c r="Q64" t="s">
        <v>21</v>
      </c>
      <c r="R64">
        <f>SUM(R35:R58)</f>
        <v>23.792705670163041</v>
      </c>
    </row>
    <row r="65" spans="9:18" x14ac:dyDescent="0.3">
      <c r="I65">
        <v>2007</v>
      </c>
      <c r="J65">
        <v>4</v>
      </c>
      <c r="K65">
        <v>14.3</v>
      </c>
      <c r="L65">
        <v>0.25</v>
      </c>
      <c r="M65">
        <v>4</v>
      </c>
      <c r="Q65" t="s">
        <v>22</v>
      </c>
      <c r="R65">
        <f>R64^2</f>
        <v>566.09284310700855</v>
      </c>
    </row>
    <row r="66" spans="9:18" x14ac:dyDescent="0.3">
      <c r="I66">
        <v>2012</v>
      </c>
      <c r="J66">
        <v>4</v>
      </c>
      <c r="K66">
        <v>13.55</v>
      </c>
      <c r="L66">
        <v>0.3</v>
      </c>
      <c r="M66">
        <v>3.3333333333333299</v>
      </c>
      <c r="Q66" t="s">
        <v>23</v>
      </c>
      <c r="R66">
        <f>SUM(_xlfn.ANCHORARRAY(S35))</f>
        <v>280.53482087251672</v>
      </c>
    </row>
    <row r="67" spans="9:18" x14ac:dyDescent="0.3">
      <c r="I67">
        <v>2021</v>
      </c>
      <c r="J67">
        <v>4</v>
      </c>
      <c r="K67">
        <v>13.5</v>
      </c>
      <c r="L67">
        <v>0.35</v>
      </c>
      <c r="M67">
        <v>2.8571428571428599</v>
      </c>
      <c r="Q67" s="1"/>
    </row>
    <row r="68" spans="9:18" x14ac:dyDescent="0.3">
      <c r="I68">
        <v>2014</v>
      </c>
      <c r="J68">
        <v>4</v>
      </c>
      <c r="K68">
        <v>13.1</v>
      </c>
      <c r="L68">
        <v>0.4</v>
      </c>
      <c r="M68">
        <v>2.5</v>
      </c>
    </row>
    <row r="69" spans="9:18" x14ac:dyDescent="0.3">
      <c r="I69">
        <v>2019</v>
      </c>
      <c r="J69">
        <v>4</v>
      </c>
      <c r="K69">
        <v>13.05</v>
      </c>
      <c r="L69">
        <v>0.45</v>
      </c>
      <c r="M69">
        <v>2.2222222222222201</v>
      </c>
    </row>
    <row r="70" spans="9:18" x14ac:dyDescent="0.3">
      <c r="I70">
        <v>2008</v>
      </c>
      <c r="J70">
        <v>4</v>
      </c>
      <c r="K70">
        <v>12.3</v>
      </c>
      <c r="L70">
        <v>0.5</v>
      </c>
      <c r="M70">
        <v>2</v>
      </c>
    </row>
    <row r="71" spans="9:18" x14ac:dyDescent="0.3">
      <c r="I71">
        <v>2015</v>
      </c>
      <c r="J71">
        <v>4</v>
      </c>
      <c r="K71">
        <v>11.85</v>
      </c>
      <c r="L71">
        <v>0.55000000000000004</v>
      </c>
      <c r="M71">
        <v>1.8181818181818199</v>
      </c>
    </row>
    <row r="72" spans="9:18" x14ac:dyDescent="0.3">
      <c r="I72">
        <v>2023</v>
      </c>
      <c r="J72">
        <v>4</v>
      </c>
      <c r="K72">
        <v>11.8</v>
      </c>
      <c r="L72">
        <v>0.6</v>
      </c>
      <c r="M72">
        <v>1.6666666666666701</v>
      </c>
    </row>
    <row r="73" spans="9:18" x14ac:dyDescent="0.3">
      <c r="I73">
        <v>2009</v>
      </c>
      <c r="J73">
        <v>4</v>
      </c>
      <c r="K73">
        <v>11.6</v>
      </c>
      <c r="L73">
        <v>0.65</v>
      </c>
      <c r="M73">
        <v>1.5384615384615401</v>
      </c>
    </row>
    <row r="74" spans="9:18" x14ac:dyDescent="0.3">
      <c r="I74">
        <v>2020</v>
      </c>
      <c r="J74">
        <v>4</v>
      </c>
      <c r="K74">
        <v>11.45</v>
      </c>
      <c r="L74">
        <v>0.7</v>
      </c>
      <c r="M74">
        <v>1.4285714285714299</v>
      </c>
    </row>
    <row r="75" spans="9:18" x14ac:dyDescent="0.3">
      <c r="I75">
        <v>2025</v>
      </c>
      <c r="J75">
        <v>4</v>
      </c>
      <c r="K75">
        <v>11.15</v>
      </c>
      <c r="L75">
        <v>0.75</v>
      </c>
      <c r="M75">
        <v>1.3333333333333299</v>
      </c>
    </row>
    <row r="76" spans="9:18" x14ac:dyDescent="0.3">
      <c r="I76">
        <v>2006</v>
      </c>
      <c r="J76">
        <v>4</v>
      </c>
      <c r="K76">
        <v>10.5</v>
      </c>
      <c r="L76">
        <v>0.8</v>
      </c>
      <c r="M76">
        <v>1.25</v>
      </c>
    </row>
    <row r="77" spans="9:18" x14ac:dyDescent="0.3">
      <c r="I77">
        <v>2011</v>
      </c>
      <c r="J77">
        <v>4</v>
      </c>
      <c r="K77">
        <v>10.35</v>
      </c>
      <c r="L77">
        <v>0.85</v>
      </c>
      <c r="M77">
        <v>1.1764705882352899</v>
      </c>
    </row>
    <row r="78" spans="9:18" x14ac:dyDescent="0.3">
      <c r="I78">
        <v>2010</v>
      </c>
      <c r="J78">
        <v>4</v>
      </c>
      <c r="K78">
        <v>9.25</v>
      </c>
      <c r="L78">
        <v>0.9</v>
      </c>
      <c r="M78">
        <v>1.1111111111111101</v>
      </c>
    </row>
    <row r="79" spans="9:18" x14ac:dyDescent="0.3">
      <c r="I79">
        <v>2018</v>
      </c>
      <c r="J79">
        <v>4</v>
      </c>
      <c r="K79">
        <v>9</v>
      </c>
      <c r="L79">
        <v>0.95</v>
      </c>
      <c r="M79">
        <v>1.0526315789473699</v>
      </c>
    </row>
    <row r="80" spans="9:18" x14ac:dyDescent="0.3">
      <c r="I80">
        <v>2024</v>
      </c>
      <c r="J80">
        <v>5</v>
      </c>
      <c r="K80">
        <v>15.32</v>
      </c>
      <c r="L80">
        <v>0.05</v>
      </c>
      <c r="M80">
        <v>20</v>
      </c>
    </row>
    <row r="81" spans="9:13" x14ac:dyDescent="0.3">
      <c r="I81">
        <v>2013</v>
      </c>
      <c r="J81">
        <v>5</v>
      </c>
      <c r="K81">
        <v>13.88</v>
      </c>
      <c r="L81">
        <v>0.1</v>
      </c>
      <c r="M81">
        <v>10</v>
      </c>
    </row>
    <row r="82" spans="9:13" x14ac:dyDescent="0.3">
      <c r="I82">
        <v>2012</v>
      </c>
      <c r="J82">
        <v>5</v>
      </c>
      <c r="K82">
        <v>13.2</v>
      </c>
      <c r="L82">
        <v>0.15</v>
      </c>
      <c r="M82">
        <v>6.6666666666666696</v>
      </c>
    </row>
    <row r="83" spans="9:13" x14ac:dyDescent="0.3">
      <c r="I83">
        <v>2017</v>
      </c>
      <c r="J83">
        <v>5</v>
      </c>
      <c r="K83">
        <v>13</v>
      </c>
      <c r="L83">
        <v>0.2</v>
      </c>
      <c r="M83">
        <v>5</v>
      </c>
    </row>
    <row r="84" spans="9:13" x14ac:dyDescent="0.3">
      <c r="I84">
        <v>2007</v>
      </c>
      <c r="J84">
        <v>5</v>
      </c>
      <c r="K84">
        <v>11.72</v>
      </c>
      <c r="L84">
        <v>0.25</v>
      </c>
      <c r="M84">
        <v>4</v>
      </c>
    </row>
    <row r="85" spans="9:13" x14ac:dyDescent="0.3">
      <c r="I85">
        <v>2022</v>
      </c>
      <c r="J85">
        <v>5</v>
      </c>
      <c r="K85">
        <v>11.68</v>
      </c>
      <c r="L85">
        <v>0.3</v>
      </c>
      <c r="M85">
        <v>3.3333333333333299</v>
      </c>
    </row>
    <row r="86" spans="9:13" x14ac:dyDescent="0.3">
      <c r="I86">
        <v>2008</v>
      </c>
      <c r="J86">
        <v>5</v>
      </c>
      <c r="K86">
        <v>11.6</v>
      </c>
      <c r="L86">
        <v>0.35</v>
      </c>
      <c r="M86">
        <v>2.8571428571428599</v>
      </c>
    </row>
    <row r="87" spans="9:13" x14ac:dyDescent="0.3">
      <c r="I87">
        <v>2019</v>
      </c>
      <c r="J87">
        <v>5</v>
      </c>
      <c r="K87">
        <v>11.6</v>
      </c>
      <c r="L87">
        <v>0.4</v>
      </c>
      <c r="M87">
        <v>2.5</v>
      </c>
    </row>
    <row r="88" spans="9:13" x14ac:dyDescent="0.3">
      <c r="I88">
        <v>2014</v>
      </c>
      <c r="J88">
        <v>5</v>
      </c>
      <c r="K88">
        <v>11.44</v>
      </c>
      <c r="L88">
        <v>0.45</v>
      </c>
      <c r="M88">
        <v>2.2222222222222201</v>
      </c>
    </row>
    <row r="89" spans="9:13" x14ac:dyDescent="0.3">
      <c r="I89">
        <v>2021</v>
      </c>
      <c r="J89">
        <v>5</v>
      </c>
      <c r="K89">
        <v>11.4</v>
      </c>
      <c r="L89">
        <v>0.5</v>
      </c>
      <c r="M89">
        <v>2</v>
      </c>
    </row>
    <row r="90" spans="9:13" x14ac:dyDescent="0.3">
      <c r="I90">
        <v>2023</v>
      </c>
      <c r="J90">
        <v>5</v>
      </c>
      <c r="K90">
        <v>11.24</v>
      </c>
      <c r="L90">
        <v>0.55000000000000004</v>
      </c>
      <c r="M90">
        <v>1.8181818181818199</v>
      </c>
    </row>
    <row r="91" spans="9:13" x14ac:dyDescent="0.3">
      <c r="I91">
        <v>2009</v>
      </c>
      <c r="J91">
        <v>5</v>
      </c>
      <c r="K91">
        <v>10.44</v>
      </c>
      <c r="L91">
        <v>0.6</v>
      </c>
      <c r="M91">
        <v>1.6666666666666701</v>
      </c>
    </row>
    <row r="92" spans="9:13" x14ac:dyDescent="0.3">
      <c r="I92">
        <v>2025</v>
      </c>
      <c r="J92">
        <v>5</v>
      </c>
      <c r="K92">
        <v>10.16</v>
      </c>
      <c r="L92">
        <v>0.65</v>
      </c>
      <c r="M92">
        <v>1.5384615384615401</v>
      </c>
    </row>
    <row r="93" spans="9:13" x14ac:dyDescent="0.3">
      <c r="I93">
        <v>2015</v>
      </c>
      <c r="J93">
        <v>5</v>
      </c>
      <c r="K93">
        <v>10.039999999999999</v>
      </c>
      <c r="L93">
        <v>0.7</v>
      </c>
      <c r="M93">
        <v>1.4285714285714299</v>
      </c>
    </row>
    <row r="94" spans="9:13" x14ac:dyDescent="0.3">
      <c r="I94">
        <v>2020</v>
      </c>
      <c r="J94">
        <v>5</v>
      </c>
      <c r="K94">
        <v>10</v>
      </c>
      <c r="L94">
        <v>0.75</v>
      </c>
      <c r="M94">
        <v>1.3333333333333299</v>
      </c>
    </row>
    <row r="95" spans="9:13" x14ac:dyDescent="0.3">
      <c r="I95">
        <v>2006</v>
      </c>
      <c r="J95">
        <v>5</v>
      </c>
      <c r="K95">
        <v>8.64</v>
      </c>
      <c r="L95">
        <v>0.8</v>
      </c>
      <c r="M95">
        <v>1.25</v>
      </c>
    </row>
    <row r="96" spans="9:13" x14ac:dyDescent="0.3">
      <c r="I96">
        <v>2011</v>
      </c>
      <c r="J96">
        <v>5</v>
      </c>
      <c r="K96">
        <v>8.2799999999999994</v>
      </c>
      <c r="L96">
        <v>0.85</v>
      </c>
      <c r="M96">
        <v>1.1764705882352899</v>
      </c>
    </row>
    <row r="97" spans="9:13" x14ac:dyDescent="0.3">
      <c r="I97">
        <v>2010</v>
      </c>
      <c r="J97">
        <v>5</v>
      </c>
      <c r="K97">
        <v>8.1999999999999993</v>
      </c>
      <c r="L97">
        <v>0.9</v>
      </c>
      <c r="M97">
        <v>1.1111111111111101</v>
      </c>
    </row>
    <row r="98" spans="9:13" x14ac:dyDescent="0.3">
      <c r="I98">
        <v>2018</v>
      </c>
      <c r="J98">
        <v>5</v>
      </c>
      <c r="K98">
        <v>7.32</v>
      </c>
      <c r="L98">
        <v>0.95</v>
      </c>
      <c r="M98">
        <v>1.0526315789473699</v>
      </c>
    </row>
    <row r="99" spans="9:13" x14ac:dyDescent="0.3">
      <c r="I99">
        <v>2024</v>
      </c>
      <c r="J99">
        <v>6</v>
      </c>
      <c r="K99">
        <v>13.733333333333301</v>
      </c>
      <c r="L99">
        <v>0.05</v>
      </c>
      <c r="M99">
        <v>20</v>
      </c>
    </row>
    <row r="100" spans="9:13" x14ac:dyDescent="0.3">
      <c r="I100">
        <v>2013</v>
      </c>
      <c r="J100">
        <v>6</v>
      </c>
      <c r="K100">
        <v>13.2</v>
      </c>
      <c r="L100">
        <v>0.1</v>
      </c>
      <c r="M100">
        <v>10</v>
      </c>
    </row>
    <row r="101" spans="9:13" x14ac:dyDescent="0.3">
      <c r="I101">
        <v>2012</v>
      </c>
      <c r="J101">
        <v>6</v>
      </c>
      <c r="K101">
        <v>11.533333333333299</v>
      </c>
      <c r="L101">
        <v>0.15</v>
      </c>
      <c r="M101">
        <v>6.6666666666666696</v>
      </c>
    </row>
    <row r="102" spans="9:13" x14ac:dyDescent="0.3">
      <c r="I102">
        <v>2017</v>
      </c>
      <c r="J102">
        <v>6</v>
      </c>
      <c r="K102">
        <v>11.533333333333299</v>
      </c>
      <c r="L102">
        <v>0.2</v>
      </c>
      <c r="M102">
        <v>5</v>
      </c>
    </row>
    <row r="103" spans="9:13" x14ac:dyDescent="0.3">
      <c r="I103">
        <v>2008</v>
      </c>
      <c r="J103">
        <v>6</v>
      </c>
      <c r="K103">
        <v>10.9333333333333</v>
      </c>
      <c r="L103">
        <v>0.25</v>
      </c>
      <c r="M103">
        <v>4</v>
      </c>
    </row>
    <row r="104" spans="9:13" x14ac:dyDescent="0.3">
      <c r="I104">
        <v>2014</v>
      </c>
      <c r="J104">
        <v>6</v>
      </c>
      <c r="K104">
        <v>10.3</v>
      </c>
      <c r="L104">
        <v>0.3</v>
      </c>
      <c r="M104">
        <v>3.3333333333333299</v>
      </c>
    </row>
    <row r="105" spans="9:13" x14ac:dyDescent="0.3">
      <c r="I105">
        <v>2025</v>
      </c>
      <c r="J105">
        <v>6</v>
      </c>
      <c r="K105">
        <v>10.266666666666699</v>
      </c>
      <c r="L105">
        <v>0.35</v>
      </c>
      <c r="M105">
        <v>2.8571428571428599</v>
      </c>
    </row>
    <row r="106" spans="9:13" x14ac:dyDescent="0.3">
      <c r="I106">
        <v>2009</v>
      </c>
      <c r="J106">
        <v>6</v>
      </c>
      <c r="K106">
        <v>10.1</v>
      </c>
      <c r="L106">
        <v>0.4</v>
      </c>
      <c r="M106">
        <v>2.5</v>
      </c>
    </row>
    <row r="107" spans="9:13" x14ac:dyDescent="0.3">
      <c r="I107">
        <v>2007</v>
      </c>
      <c r="J107">
        <v>6</v>
      </c>
      <c r="K107">
        <v>9.9333333333333407</v>
      </c>
      <c r="L107">
        <v>0.45</v>
      </c>
      <c r="M107">
        <v>2.2222222222222201</v>
      </c>
    </row>
    <row r="108" spans="9:13" x14ac:dyDescent="0.3">
      <c r="I108">
        <v>2019</v>
      </c>
      <c r="J108">
        <v>6</v>
      </c>
      <c r="K108">
        <v>9.93333333333333</v>
      </c>
      <c r="L108">
        <v>0.5</v>
      </c>
      <c r="M108">
        <v>2</v>
      </c>
    </row>
    <row r="109" spans="9:13" x14ac:dyDescent="0.3">
      <c r="I109">
        <v>2021</v>
      </c>
      <c r="J109">
        <v>6</v>
      </c>
      <c r="K109">
        <v>9.8666666666666707</v>
      </c>
      <c r="L109">
        <v>0.55000000000000004</v>
      </c>
      <c r="M109">
        <v>1.8181818181818199</v>
      </c>
    </row>
    <row r="110" spans="9:13" x14ac:dyDescent="0.3">
      <c r="I110">
        <v>2023</v>
      </c>
      <c r="J110">
        <v>6</v>
      </c>
      <c r="K110">
        <v>9.8333333333333304</v>
      </c>
      <c r="L110">
        <v>0.6</v>
      </c>
      <c r="M110">
        <v>1.6666666666666701</v>
      </c>
    </row>
    <row r="111" spans="9:13" x14ac:dyDescent="0.3">
      <c r="I111">
        <v>2022</v>
      </c>
      <c r="J111">
        <v>6</v>
      </c>
      <c r="K111">
        <v>9.7333333333333307</v>
      </c>
      <c r="L111">
        <v>0.65</v>
      </c>
      <c r="M111">
        <v>1.5384615384615401</v>
      </c>
    </row>
    <row r="112" spans="9:13" x14ac:dyDescent="0.3">
      <c r="I112">
        <v>2020</v>
      </c>
      <c r="J112">
        <v>6</v>
      </c>
      <c r="K112">
        <v>9.6666666666666696</v>
      </c>
      <c r="L112">
        <v>0.7</v>
      </c>
      <c r="M112">
        <v>1.4285714285714299</v>
      </c>
    </row>
    <row r="113" spans="9:13" x14ac:dyDescent="0.3">
      <c r="I113">
        <v>2015</v>
      </c>
      <c r="J113">
        <v>6</v>
      </c>
      <c r="K113">
        <v>9.1666666666666607</v>
      </c>
      <c r="L113">
        <v>0.75</v>
      </c>
      <c r="M113">
        <v>1.3333333333333299</v>
      </c>
    </row>
    <row r="114" spans="9:13" x14ac:dyDescent="0.3">
      <c r="I114">
        <v>2011</v>
      </c>
      <c r="J114">
        <v>6</v>
      </c>
      <c r="K114">
        <v>7.3333333333333304</v>
      </c>
      <c r="L114">
        <v>0.8</v>
      </c>
      <c r="M114">
        <v>1.25</v>
      </c>
    </row>
    <row r="115" spans="9:13" x14ac:dyDescent="0.3">
      <c r="I115">
        <v>2006</v>
      </c>
      <c r="J115">
        <v>6</v>
      </c>
      <c r="K115">
        <v>7.3</v>
      </c>
      <c r="L115">
        <v>0.85</v>
      </c>
      <c r="M115">
        <v>1.1764705882352899</v>
      </c>
    </row>
    <row r="116" spans="9:13" x14ac:dyDescent="0.3">
      <c r="I116">
        <v>2010</v>
      </c>
      <c r="J116">
        <v>6</v>
      </c>
      <c r="K116">
        <v>7.2333333333333298</v>
      </c>
      <c r="L116">
        <v>0.9</v>
      </c>
      <c r="M116">
        <v>1.1111111111111101</v>
      </c>
    </row>
    <row r="117" spans="9:13" x14ac:dyDescent="0.3">
      <c r="I117">
        <v>2018</v>
      </c>
      <c r="J117">
        <v>6</v>
      </c>
      <c r="K117">
        <v>6.8666666666666698</v>
      </c>
      <c r="L117">
        <v>0.95</v>
      </c>
      <c r="M117">
        <v>1.0526315789473699</v>
      </c>
    </row>
    <row r="118" spans="9:13" x14ac:dyDescent="0.3">
      <c r="I118">
        <v>2024</v>
      </c>
      <c r="J118">
        <v>7</v>
      </c>
      <c r="K118">
        <v>12.314285714285701</v>
      </c>
      <c r="L118">
        <v>0.05</v>
      </c>
      <c r="M118">
        <v>20</v>
      </c>
    </row>
    <row r="119" spans="9:13" x14ac:dyDescent="0.3">
      <c r="I119">
        <v>2013</v>
      </c>
      <c r="J119">
        <v>7</v>
      </c>
      <c r="K119">
        <v>11.8857142857143</v>
      </c>
      <c r="L119">
        <v>0.1</v>
      </c>
      <c r="M119">
        <v>10</v>
      </c>
    </row>
    <row r="120" spans="9:13" x14ac:dyDescent="0.3">
      <c r="I120">
        <v>2014</v>
      </c>
      <c r="J120">
        <v>7</v>
      </c>
      <c r="K120">
        <v>11.0857142857143</v>
      </c>
      <c r="L120">
        <v>0.15</v>
      </c>
      <c r="M120">
        <v>6.6666666666666696</v>
      </c>
    </row>
    <row r="121" spans="9:13" x14ac:dyDescent="0.3">
      <c r="I121">
        <v>2017</v>
      </c>
      <c r="J121">
        <v>7</v>
      </c>
      <c r="K121">
        <v>10.4857142857143</v>
      </c>
      <c r="L121">
        <v>0.2</v>
      </c>
      <c r="M121">
        <v>5</v>
      </c>
    </row>
    <row r="122" spans="9:13" x14ac:dyDescent="0.3">
      <c r="I122">
        <v>2008</v>
      </c>
      <c r="J122">
        <v>7</v>
      </c>
      <c r="K122">
        <v>10.4571428571429</v>
      </c>
      <c r="L122">
        <v>0.25</v>
      </c>
      <c r="M122">
        <v>4</v>
      </c>
    </row>
    <row r="123" spans="9:13" x14ac:dyDescent="0.3">
      <c r="I123">
        <v>2012</v>
      </c>
      <c r="J123">
        <v>7</v>
      </c>
      <c r="K123">
        <v>10.1428571428571</v>
      </c>
      <c r="L123">
        <v>0.3</v>
      </c>
      <c r="M123">
        <v>3.3333333333333299</v>
      </c>
    </row>
    <row r="124" spans="9:13" x14ac:dyDescent="0.3">
      <c r="I124">
        <v>2025</v>
      </c>
      <c r="J124">
        <v>7</v>
      </c>
      <c r="K124">
        <v>9.6</v>
      </c>
      <c r="L124">
        <v>0.35</v>
      </c>
      <c r="M124">
        <v>2.8571428571428599</v>
      </c>
    </row>
    <row r="125" spans="9:13" x14ac:dyDescent="0.3">
      <c r="I125">
        <v>2023</v>
      </c>
      <c r="J125">
        <v>7</v>
      </c>
      <c r="K125">
        <v>9.5428571428571392</v>
      </c>
      <c r="L125">
        <v>0.4</v>
      </c>
      <c r="M125">
        <v>2.5</v>
      </c>
    </row>
    <row r="126" spans="9:13" x14ac:dyDescent="0.3">
      <c r="I126">
        <v>2020</v>
      </c>
      <c r="J126">
        <v>7</v>
      </c>
      <c r="K126">
        <v>9.1999999999999993</v>
      </c>
      <c r="L126">
        <v>0.45</v>
      </c>
      <c r="M126">
        <v>2.2222222222222201</v>
      </c>
    </row>
    <row r="127" spans="9:13" x14ac:dyDescent="0.3">
      <c r="I127">
        <v>2009</v>
      </c>
      <c r="J127">
        <v>7</v>
      </c>
      <c r="K127">
        <v>9.0285714285714302</v>
      </c>
      <c r="L127">
        <v>0.5</v>
      </c>
      <c r="M127">
        <v>2</v>
      </c>
    </row>
    <row r="128" spans="9:13" x14ac:dyDescent="0.3">
      <c r="I128">
        <v>2007</v>
      </c>
      <c r="J128">
        <v>7</v>
      </c>
      <c r="K128">
        <v>8.5714285714285694</v>
      </c>
      <c r="L128">
        <v>0.55000000000000004</v>
      </c>
      <c r="M128">
        <v>1.8181818181818199</v>
      </c>
    </row>
    <row r="129" spans="9:13" x14ac:dyDescent="0.3">
      <c r="I129">
        <v>2019</v>
      </c>
      <c r="J129">
        <v>7</v>
      </c>
      <c r="K129">
        <v>8.5428571428571392</v>
      </c>
      <c r="L129">
        <v>0.6</v>
      </c>
      <c r="M129">
        <v>1.6666666666666701</v>
      </c>
    </row>
    <row r="130" spans="9:13" x14ac:dyDescent="0.3">
      <c r="I130">
        <v>2021</v>
      </c>
      <c r="J130">
        <v>7</v>
      </c>
      <c r="K130">
        <v>8.4857142857142893</v>
      </c>
      <c r="L130">
        <v>0.65</v>
      </c>
      <c r="M130">
        <v>1.5384615384615401</v>
      </c>
    </row>
    <row r="131" spans="9:13" x14ac:dyDescent="0.3">
      <c r="I131">
        <v>2022</v>
      </c>
      <c r="J131">
        <v>7</v>
      </c>
      <c r="K131">
        <v>8.3428571428571399</v>
      </c>
      <c r="L131">
        <v>0.7</v>
      </c>
      <c r="M131">
        <v>1.4285714285714299</v>
      </c>
    </row>
    <row r="132" spans="9:13" x14ac:dyDescent="0.3">
      <c r="I132">
        <v>2015</v>
      </c>
      <c r="J132">
        <v>7</v>
      </c>
      <c r="K132">
        <v>8.0857142857142907</v>
      </c>
      <c r="L132">
        <v>0.75</v>
      </c>
      <c r="M132">
        <v>1.3333333333333299</v>
      </c>
    </row>
    <row r="133" spans="9:13" x14ac:dyDescent="0.3">
      <c r="I133">
        <v>2011</v>
      </c>
      <c r="J133">
        <v>7</v>
      </c>
      <c r="K133">
        <v>6.7428571428571402</v>
      </c>
      <c r="L133">
        <v>0.8</v>
      </c>
      <c r="M133">
        <v>1.25</v>
      </c>
    </row>
    <row r="134" spans="9:13" x14ac:dyDescent="0.3">
      <c r="I134">
        <v>2010</v>
      </c>
      <c r="J134">
        <v>7</v>
      </c>
      <c r="K134">
        <v>6.6571428571428601</v>
      </c>
      <c r="L134">
        <v>0.85</v>
      </c>
      <c r="M134">
        <v>1.1764705882352899</v>
      </c>
    </row>
    <row r="135" spans="9:13" x14ac:dyDescent="0.3">
      <c r="I135">
        <v>2006</v>
      </c>
      <c r="J135">
        <v>7</v>
      </c>
      <c r="K135">
        <v>6.28571428571429</v>
      </c>
      <c r="L135">
        <v>0.9</v>
      </c>
      <c r="M135">
        <v>1.1111111111111101</v>
      </c>
    </row>
    <row r="136" spans="9:13" x14ac:dyDescent="0.3">
      <c r="I136">
        <v>2018</v>
      </c>
      <c r="J136">
        <v>7</v>
      </c>
      <c r="K136">
        <v>6.2857142857142803</v>
      </c>
      <c r="L136">
        <v>0.95</v>
      </c>
      <c r="M136">
        <v>1.0526315789473699</v>
      </c>
    </row>
    <row r="137" spans="9:13" x14ac:dyDescent="0.3">
      <c r="I137">
        <v>2024</v>
      </c>
      <c r="J137">
        <v>8</v>
      </c>
      <c r="K137">
        <v>11.275</v>
      </c>
      <c r="L137">
        <v>0.05</v>
      </c>
      <c r="M137">
        <v>20</v>
      </c>
    </row>
    <row r="138" spans="9:13" x14ac:dyDescent="0.3">
      <c r="I138">
        <v>2013</v>
      </c>
      <c r="J138">
        <v>8</v>
      </c>
      <c r="K138">
        <v>10.75</v>
      </c>
      <c r="L138">
        <v>0.1</v>
      </c>
      <c r="M138">
        <v>10</v>
      </c>
    </row>
    <row r="139" spans="9:13" x14ac:dyDescent="0.3">
      <c r="I139">
        <v>2008</v>
      </c>
      <c r="J139">
        <v>8</v>
      </c>
      <c r="K139">
        <v>10.1</v>
      </c>
      <c r="L139">
        <v>0.15</v>
      </c>
      <c r="M139">
        <v>6.6666666666666696</v>
      </c>
    </row>
    <row r="140" spans="9:13" x14ac:dyDescent="0.3">
      <c r="I140">
        <v>2014</v>
      </c>
      <c r="J140">
        <v>8</v>
      </c>
      <c r="K140">
        <v>10.025</v>
      </c>
      <c r="L140">
        <v>0.2</v>
      </c>
      <c r="M140">
        <v>5</v>
      </c>
    </row>
    <row r="141" spans="9:13" x14ac:dyDescent="0.3">
      <c r="I141">
        <v>2017</v>
      </c>
      <c r="J141">
        <v>8</v>
      </c>
      <c r="K141">
        <v>9.7750000000000004</v>
      </c>
      <c r="L141">
        <v>0.25</v>
      </c>
      <c r="M141">
        <v>4</v>
      </c>
    </row>
    <row r="142" spans="9:13" x14ac:dyDescent="0.3">
      <c r="I142">
        <v>2020</v>
      </c>
      <c r="J142">
        <v>8</v>
      </c>
      <c r="K142">
        <v>9.0500000000000007</v>
      </c>
      <c r="L142">
        <v>0.3</v>
      </c>
      <c r="M142">
        <v>3.3333333333333299</v>
      </c>
    </row>
    <row r="143" spans="9:13" x14ac:dyDescent="0.3">
      <c r="I143">
        <v>2025</v>
      </c>
      <c r="J143">
        <v>8</v>
      </c>
      <c r="K143">
        <v>9.0500000000000007</v>
      </c>
      <c r="L143">
        <v>0.35</v>
      </c>
      <c r="M143">
        <v>2.8571428571428599</v>
      </c>
    </row>
    <row r="144" spans="9:13" x14ac:dyDescent="0.3">
      <c r="I144">
        <v>2023</v>
      </c>
      <c r="J144">
        <v>8</v>
      </c>
      <c r="K144">
        <v>9.0250000000000004</v>
      </c>
      <c r="L144">
        <v>0.4</v>
      </c>
      <c r="M144">
        <v>2.5</v>
      </c>
    </row>
    <row r="145" spans="9:13" x14ac:dyDescent="0.3">
      <c r="I145">
        <v>2012</v>
      </c>
      <c r="J145">
        <v>8</v>
      </c>
      <c r="K145">
        <v>8.875</v>
      </c>
      <c r="L145">
        <v>0.45</v>
      </c>
      <c r="M145">
        <v>2.2222222222222201</v>
      </c>
    </row>
    <row r="146" spans="9:13" x14ac:dyDescent="0.3">
      <c r="I146">
        <v>2009</v>
      </c>
      <c r="J146">
        <v>8</v>
      </c>
      <c r="K146">
        <v>8.3000000000000007</v>
      </c>
      <c r="L146">
        <v>0.5</v>
      </c>
      <c r="M146">
        <v>2</v>
      </c>
    </row>
    <row r="147" spans="9:13" x14ac:dyDescent="0.3">
      <c r="I147">
        <v>2015</v>
      </c>
      <c r="J147">
        <v>8</v>
      </c>
      <c r="K147">
        <v>7.8</v>
      </c>
      <c r="L147">
        <v>0.55000000000000004</v>
      </c>
      <c r="M147">
        <v>1.8181818181818199</v>
      </c>
    </row>
    <row r="148" spans="9:13" x14ac:dyDescent="0.3">
      <c r="I148">
        <v>2007</v>
      </c>
      <c r="J148">
        <v>8</v>
      </c>
      <c r="K148">
        <v>7.5250000000000004</v>
      </c>
      <c r="L148">
        <v>0.6</v>
      </c>
      <c r="M148">
        <v>1.6666666666666701</v>
      </c>
    </row>
    <row r="149" spans="9:13" x14ac:dyDescent="0.3">
      <c r="I149">
        <v>2019</v>
      </c>
      <c r="J149">
        <v>8</v>
      </c>
      <c r="K149">
        <v>7.5250000000000004</v>
      </c>
      <c r="L149">
        <v>0.65</v>
      </c>
      <c r="M149">
        <v>1.5384615384615401</v>
      </c>
    </row>
    <row r="150" spans="9:13" x14ac:dyDescent="0.3">
      <c r="I150">
        <v>2021</v>
      </c>
      <c r="J150">
        <v>8</v>
      </c>
      <c r="K150">
        <v>7.5</v>
      </c>
      <c r="L150">
        <v>0.7</v>
      </c>
      <c r="M150">
        <v>1.4285714285714299</v>
      </c>
    </row>
    <row r="151" spans="9:13" x14ac:dyDescent="0.3">
      <c r="I151">
        <v>2022</v>
      </c>
      <c r="J151">
        <v>8</v>
      </c>
      <c r="K151">
        <v>7.3</v>
      </c>
      <c r="L151">
        <v>0.75</v>
      </c>
      <c r="M151">
        <v>1.3333333333333299</v>
      </c>
    </row>
    <row r="152" spans="9:13" x14ac:dyDescent="0.3">
      <c r="I152">
        <v>2010</v>
      </c>
      <c r="J152">
        <v>8</v>
      </c>
      <c r="K152">
        <v>6.65</v>
      </c>
      <c r="L152">
        <v>0.8</v>
      </c>
      <c r="M152">
        <v>1.25</v>
      </c>
    </row>
    <row r="153" spans="9:13" x14ac:dyDescent="0.3">
      <c r="I153">
        <v>2018</v>
      </c>
      <c r="J153">
        <v>8</v>
      </c>
      <c r="K153">
        <v>6.5</v>
      </c>
      <c r="L153">
        <v>0.85</v>
      </c>
      <c r="M153">
        <v>1.1764705882352899</v>
      </c>
    </row>
    <row r="154" spans="9:13" x14ac:dyDescent="0.3">
      <c r="I154">
        <v>2011</v>
      </c>
      <c r="J154">
        <v>8</v>
      </c>
      <c r="K154">
        <v>6.3</v>
      </c>
      <c r="L154">
        <v>0.9</v>
      </c>
      <c r="M154">
        <v>1.1111111111111101</v>
      </c>
    </row>
    <row r="155" spans="9:13" x14ac:dyDescent="0.3">
      <c r="I155">
        <v>2006</v>
      </c>
      <c r="J155">
        <v>8</v>
      </c>
      <c r="K155">
        <v>5.9749999999999996</v>
      </c>
      <c r="L155">
        <v>0.95</v>
      </c>
      <c r="M155">
        <v>1.0526315789473699</v>
      </c>
    </row>
    <row r="156" spans="9:13" x14ac:dyDescent="0.3">
      <c r="I156">
        <v>2024</v>
      </c>
      <c r="J156">
        <v>9</v>
      </c>
      <c r="K156">
        <v>10.4444444444444</v>
      </c>
      <c r="L156">
        <v>0.05</v>
      </c>
      <c r="M156">
        <v>20</v>
      </c>
    </row>
    <row r="157" spans="9:13" x14ac:dyDescent="0.3">
      <c r="I157">
        <v>2013</v>
      </c>
      <c r="J157">
        <v>9</v>
      </c>
      <c r="K157">
        <v>10</v>
      </c>
      <c r="L157">
        <v>0.1</v>
      </c>
      <c r="M157">
        <v>10</v>
      </c>
    </row>
    <row r="158" spans="9:13" x14ac:dyDescent="0.3">
      <c r="I158">
        <v>2008</v>
      </c>
      <c r="J158">
        <v>9</v>
      </c>
      <c r="K158">
        <v>9.5333333333333297</v>
      </c>
      <c r="L158">
        <v>0.15</v>
      </c>
      <c r="M158">
        <v>6.6666666666666696</v>
      </c>
    </row>
    <row r="159" spans="9:13" x14ac:dyDescent="0.3">
      <c r="I159">
        <v>2014</v>
      </c>
      <c r="J159">
        <v>9</v>
      </c>
      <c r="K159">
        <v>9.4444444444444393</v>
      </c>
      <c r="L159">
        <v>0.2</v>
      </c>
      <c r="M159">
        <v>5</v>
      </c>
    </row>
    <row r="160" spans="9:13" x14ac:dyDescent="0.3">
      <c r="I160">
        <v>2023</v>
      </c>
      <c r="J160">
        <v>9</v>
      </c>
      <c r="K160">
        <v>9.0222222222222204</v>
      </c>
      <c r="L160">
        <v>0.25</v>
      </c>
      <c r="M160">
        <v>4</v>
      </c>
    </row>
    <row r="161" spans="9:13" x14ac:dyDescent="0.3">
      <c r="I161">
        <v>2025</v>
      </c>
      <c r="J161">
        <v>9</v>
      </c>
      <c r="K161">
        <v>8.9777777777777796</v>
      </c>
      <c r="L161">
        <v>0.3</v>
      </c>
      <c r="M161">
        <v>3.3333333333333299</v>
      </c>
    </row>
    <row r="162" spans="9:13" x14ac:dyDescent="0.3">
      <c r="I162">
        <v>2020</v>
      </c>
      <c r="J162">
        <v>9</v>
      </c>
      <c r="K162">
        <v>8.8444444444444397</v>
      </c>
      <c r="L162">
        <v>0.35</v>
      </c>
      <c r="M162">
        <v>2.8571428571428599</v>
      </c>
    </row>
    <row r="163" spans="9:13" x14ac:dyDescent="0.3">
      <c r="I163">
        <v>2017</v>
      </c>
      <c r="J163">
        <v>9</v>
      </c>
      <c r="K163">
        <v>8.8222222222222193</v>
      </c>
      <c r="L163">
        <v>0.4</v>
      </c>
      <c r="M163">
        <v>2.5</v>
      </c>
    </row>
    <row r="164" spans="9:13" x14ac:dyDescent="0.3">
      <c r="I164">
        <v>2012</v>
      </c>
      <c r="J164">
        <v>9</v>
      </c>
      <c r="K164">
        <v>7.93333333333333</v>
      </c>
      <c r="L164">
        <v>0.45</v>
      </c>
      <c r="M164">
        <v>2.2222222222222201</v>
      </c>
    </row>
    <row r="165" spans="9:13" x14ac:dyDescent="0.3">
      <c r="I165">
        <v>2009</v>
      </c>
      <c r="J165">
        <v>9</v>
      </c>
      <c r="K165">
        <v>7.6666666666666696</v>
      </c>
      <c r="L165">
        <v>0.5</v>
      </c>
      <c r="M165">
        <v>2</v>
      </c>
    </row>
    <row r="166" spans="9:13" x14ac:dyDescent="0.3">
      <c r="I166">
        <v>2011</v>
      </c>
      <c r="J166">
        <v>9</v>
      </c>
      <c r="K166">
        <v>7.5333333333333297</v>
      </c>
      <c r="L166">
        <v>0.55000000000000004</v>
      </c>
      <c r="M166">
        <v>1.8181818181818199</v>
      </c>
    </row>
    <row r="167" spans="9:13" x14ac:dyDescent="0.3">
      <c r="I167">
        <v>2015</v>
      </c>
      <c r="J167">
        <v>9</v>
      </c>
      <c r="K167">
        <v>7.4444444444444402</v>
      </c>
      <c r="L167">
        <v>0.6</v>
      </c>
      <c r="M167">
        <v>1.6666666666666701</v>
      </c>
    </row>
    <row r="168" spans="9:13" x14ac:dyDescent="0.3">
      <c r="I168">
        <v>2022</v>
      </c>
      <c r="J168">
        <v>9</v>
      </c>
      <c r="K168">
        <v>7.06666666666667</v>
      </c>
      <c r="L168">
        <v>0.65</v>
      </c>
      <c r="M168">
        <v>1.5384615384615401</v>
      </c>
    </row>
    <row r="169" spans="9:13" x14ac:dyDescent="0.3">
      <c r="I169">
        <v>2019</v>
      </c>
      <c r="J169">
        <v>9</v>
      </c>
      <c r="K169">
        <v>7.0222222222222204</v>
      </c>
      <c r="L169">
        <v>0.7</v>
      </c>
      <c r="M169">
        <v>1.4285714285714299</v>
      </c>
    </row>
    <row r="170" spans="9:13" x14ac:dyDescent="0.3">
      <c r="I170">
        <v>2021</v>
      </c>
      <c r="J170">
        <v>9</v>
      </c>
      <c r="K170">
        <v>6.93333333333333</v>
      </c>
      <c r="L170">
        <v>0.75</v>
      </c>
      <c r="M170">
        <v>1.3333333333333299</v>
      </c>
    </row>
    <row r="171" spans="9:13" x14ac:dyDescent="0.3">
      <c r="I171">
        <v>2007</v>
      </c>
      <c r="J171">
        <v>9</v>
      </c>
      <c r="K171">
        <v>6.75555555555556</v>
      </c>
      <c r="L171">
        <v>0.8</v>
      </c>
      <c r="M171">
        <v>1.25</v>
      </c>
    </row>
    <row r="172" spans="9:13" x14ac:dyDescent="0.3">
      <c r="I172">
        <v>2010</v>
      </c>
      <c r="J172">
        <v>9</v>
      </c>
      <c r="K172">
        <v>6.2222222222222197</v>
      </c>
      <c r="L172">
        <v>0.85</v>
      </c>
      <c r="M172">
        <v>1.1764705882352899</v>
      </c>
    </row>
    <row r="173" spans="9:13" x14ac:dyDescent="0.3">
      <c r="I173">
        <v>2018</v>
      </c>
      <c r="J173">
        <v>9</v>
      </c>
      <c r="K173">
        <v>5.8444444444444397</v>
      </c>
      <c r="L173">
        <v>0.9</v>
      </c>
      <c r="M173">
        <v>1.1111111111111101</v>
      </c>
    </row>
    <row r="174" spans="9:13" x14ac:dyDescent="0.3">
      <c r="I174">
        <v>2006</v>
      </c>
      <c r="J174">
        <v>9</v>
      </c>
      <c r="K174">
        <v>5.5111111111111102</v>
      </c>
      <c r="L174">
        <v>0.95</v>
      </c>
      <c r="M174">
        <v>1.0526315789473699</v>
      </c>
    </row>
    <row r="175" spans="9:13" x14ac:dyDescent="0.3">
      <c r="I175">
        <v>2024</v>
      </c>
      <c r="J175">
        <v>10</v>
      </c>
      <c r="K175">
        <v>9.66</v>
      </c>
      <c r="L175">
        <v>0.05</v>
      </c>
      <c r="M175">
        <v>20</v>
      </c>
    </row>
    <row r="176" spans="9:13" x14ac:dyDescent="0.3">
      <c r="I176">
        <v>2008</v>
      </c>
      <c r="J176">
        <v>10</v>
      </c>
      <c r="K176">
        <v>9.34</v>
      </c>
      <c r="L176">
        <v>0.1</v>
      </c>
      <c r="M176">
        <v>10</v>
      </c>
    </row>
    <row r="177" spans="9:13" x14ac:dyDescent="0.3">
      <c r="I177">
        <v>2013</v>
      </c>
      <c r="J177">
        <v>10</v>
      </c>
      <c r="K177">
        <v>9.1999999999999993</v>
      </c>
      <c r="L177">
        <v>0.15</v>
      </c>
      <c r="M177">
        <v>6.6666666666666696</v>
      </c>
    </row>
    <row r="178" spans="9:13" x14ac:dyDescent="0.3">
      <c r="I178">
        <v>2014</v>
      </c>
      <c r="J178">
        <v>10</v>
      </c>
      <c r="K178">
        <v>9.1</v>
      </c>
      <c r="L178">
        <v>0.2</v>
      </c>
      <c r="M178">
        <v>5</v>
      </c>
    </row>
    <row r="179" spans="9:13" x14ac:dyDescent="0.3">
      <c r="I179">
        <v>2023</v>
      </c>
      <c r="J179">
        <v>10</v>
      </c>
      <c r="K179">
        <v>8.94</v>
      </c>
      <c r="L179">
        <v>0.25</v>
      </c>
      <c r="M179">
        <v>4</v>
      </c>
    </row>
    <row r="180" spans="9:13" x14ac:dyDescent="0.3">
      <c r="I180">
        <v>2025</v>
      </c>
      <c r="J180">
        <v>10</v>
      </c>
      <c r="K180">
        <v>8.3800000000000008</v>
      </c>
      <c r="L180">
        <v>0.3</v>
      </c>
      <c r="M180">
        <v>3.3333333333333299</v>
      </c>
    </row>
    <row r="181" spans="9:13" x14ac:dyDescent="0.3">
      <c r="I181">
        <v>2020</v>
      </c>
      <c r="J181">
        <v>10</v>
      </c>
      <c r="K181">
        <v>8.26</v>
      </c>
      <c r="L181">
        <v>0.35</v>
      </c>
      <c r="M181">
        <v>2.8571428571428599</v>
      </c>
    </row>
    <row r="182" spans="9:13" x14ac:dyDescent="0.3">
      <c r="I182">
        <v>2017</v>
      </c>
      <c r="J182">
        <v>10</v>
      </c>
      <c r="K182">
        <v>7.96</v>
      </c>
      <c r="L182">
        <v>0.4</v>
      </c>
      <c r="M182">
        <v>2.5</v>
      </c>
    </row>
    <row r="183" spans="9:13" x14ac:dyDescent="0.3">
      <c r="I183">
        <v>2012</v>
      </c>
      <c r="J183">
        <v>10</v>
      </c>
      <c r="K183">
        <v>7.48</v>
      </c>
      <c r="L183">
        <v>0.45</v>
      </c>
      <c r="M183">
        <v>2.2222222222222201</v>
      </c>
    </row>
    <row r="184" spans="9:13" x14ac:dyDescent="0.3">
      <c r="I184">
        <v>2011</v>
      </c>
      <c r="J184">
        <v>10</v>
      </c>
      <c r="K184">
        <v>7.2</v>
      </c>
      <c r="L184">
        <v>0.5</v>
      </c>
      <c r="M184">
        <v>2</v>
      </c>
    </row>
    <row r="185" spans="9:13" x14ac:dyDescent="0.3">
      <c r="I185">
        <v>2015</v>
      </c>
      <c r="J185">
        <v>10</v>
      </c>
      <c r="K185">
        <v>7.02</v>
      </c>
      <c r="L185">
        <v>0.55000000000000004</v>
      </c>
      <c r="M185">
        <v>1.8181818181818199</v>
      </c>
    </row>
    <row r="186" spans="9:13" x14ac:dyDescent="0.3">
      <c r="I186">
        <v>2009</v>
      </c>
      <c r="J186">
        <v>10</v>
      </c>
      <c r="K186">
        <v>6.96</v>
      </c>
      <c r="L186">
        <v>0.6</v>
      </c>
      <c r="M186">
        <v>1.6666666666666701</v>
      </c>
    </row>
    <row r="187" spans="9:13" x14ac:dyDescent="0.3">
      <c r="I187">
        <v>2022</v>
      </c>
      <c r="J187">
        <v>10</v>
      </c>
      <c r="K187">
        <v>6.74</v>
      </c>
      <c r="L187">
        <v>0.65</v>
      </c>
      <c r="M187">
        <v>1.5384615384615401</v>
      </c>
    </row>
    <row r="188" spans="9:13" x14ac:dyDescent="0.3">
      <c r="I188">
        <v>2019</v>
      </c>
      <c r="J188">
        <v>10</v>
      </c>
      <c r="K188">
        <v>6.54</v>
      </c>
      <c r="L188">
        <v>0.7</v>
      </c>
      <c r="M188">
        <v>1.4285714285714299</v>
      </c>
    </row>
    <row r="189" spans="9:13" x14ac:dyDescent="0.3">
      <c r="I189">
        <v>2021</v>
      </c>
      <c r="J189">
        <v>10</v>
      </c>
      <c r="K189">
        <v>6.54</v>
      </c>
      <c r="L189">
        <v>0.75</v>
      </c>
      <c r="M189">
        <v>1.3333333333333299</v>
      </c>
    </row>
    <row r="190" spans="9:13" x14ac:dyDescent="0.3">
      <c r="I190">
        <v>2007</v>
      </c>
      <c r="J190">
        <v>10</v>
      </c>
      <c r="K190">
        <v>6.46</v>
      </c>
      <c r="L190">
        <v>0.8</v>
      </c>
      <c r="M190">
        <v>1.25</v>
      </c>
    </row>
    <row r="191" spans="9:13" x14ac:dyDescent="0.3">
      <c r="I191">
        <v>2010</v>
      </c>
      <c r="J191">
        <v>10</v>
      </c>
      <c r="K191">
        <v>5.74</v>
      </c>
      <c r="L191">
        <v>0.85</v>
      </c>
      <c r="M191">
        <v>1.1764705882352899</v>
      </c>
    </row>
    <row r="192" spans="9:13" x14ac:dyDescent="0.3">
      <c r="I192">
        <v>2018</v>
      </c>
      <c r="J192">
        <v>10</v>
      </c>
      <c r="K192">
        <v>5.7</v>
      </c>
      <c r="L192">
        <v>0.9</v>
      </c>
      <c r="M192">
        <v>1.1111111111111101</v>
      </c>
    </row>
    <row r="193" spans="9:13" x14ac:dyDescent="0.3">
      <c r="I193">
        <v>2006</v>
      </c>
      <c r="J193">
        <v>10</v>
      </c>
      <c r="K193">
        <v>5.14</v>
      </c>
      <c r="L193">
        <v>0.95</v>
      </c>
      <c r="M193">
        <v>1.0526315789473699</v>
      </c>
    </row>
    <row r="194" spans="9:13" x14ac:dyDescent="0.3">
      <c r="I194">
        <v>2008</v>
      </c>
      <c r="J194">
        <v>11</v>
      </c>
      <c r="K194">
        <v>9.1818181818181799</v>
      </c>
      <c r="L194">
        <v>0.05</v>
      </c>
      <c r="M194">
        <v>20</v>
      </c>
    </row>
    <row r="195" spans="9:13" x14ac:dyDescent="0.3">
      <c r="I195">
        <v>2024</v>
      </c>
      <c r="J195">
        <v>11</v>
      </c>
      <c r="K195">
        <v>9.0727272727272705</v>
      </c>
      <c r="L195">
        <v>0.1</v>
      </c>
      <c r="M195">
        <v>10</v>
      </c>
    </row>
    <row r="196" spans="9:13" x14ac:dyDescent="0.3">
      <c r="I196">
        <v>2023</v>
      </c>
      <c r="J196">
        <v>11</v>
      </c>
      <c r="K196">
        <v>8.8363636363636395</v>
      </c>
      <c r="L196">
        <v>0.15</v>
      </c>
      <c r="M196">
        <v>6.6666666666666696</v>
      </c>
    </row>
    <row r="197" spans="9:13" x14ac:dyDescent="0.3">
      <c r="I197">
        <v>2013</v>
      </c>
      <c r="J197">
        <v>11</v>
      </c>
      <c r="K197">
        <v>8.6</v>
      </c>
      <c r="L197">
        <v>0.2</v>
      </c>
      <c r="M197">
        <v>5</v>
      </c>
    </row>
    <row r="198" spans="9:13" x14ac:dyDescent="0.3">
      <c r="I198">
        <v>2014</v>
      </c>
      <c r="J198">
        <v>11</v>
      </c>
      <c r="K198">
        <v>8.3636363636363598</v>
      </c>
      <c r="L198">
        <v>0.25</v>
      </c>
      <c r="M198">
        <v>4</v>
      </c>
    </row>
    <row r="199" spans="9:13" x14ac:dyDescent="0.3">
      <c r="I199">
        <v>2025</v>
      </c>
      <c r="J199">
        <v>11</v>
      </c>
      <c r="K199">
        <v>7.8727272727272704</v>
      </c>
      <c r="L199">
        <v>0.3</v>
      </c>
      <c r="M199">
        <v>3.3333333333333299</v>
      </c>
    </row>
    <row r="200" spans="9:13" x14ac:dyDescent="0.3">
      <c r="I200">
        <v>2020</v>
      </c>
      <c r="J200">
        <v>11</v>
      </c>
      <c r="K200">
        <v>7.8181818181818201</v>
      </c>
      <c r="L200">
        <v>0.35</v>
      </c>
      <c r="M200">
        <v>2.8571428571428599</v>
      </c>
    </row>
    <row r="201" spans="9:13" x14ac:dyDescent="0.3">
      <c r="I201">
        <v>2017</v>
      </c>
      <c r="J201">
        <v>11</v>
      </c>
      <c r="K201">
        <v>7.2363636363636399</v>
      </c>
      <c r="L201">
        <v>0.4</v>
      </c>
      <c r="M201">
        <v>2.5</v>
      </c>
    </row>
    <row r="202" spans="9:13" x14ac:dyDescent="0.3">
      <c r="I202">
        <v>2012</v>
      </c>
      <c r="J202">
        <v>11</v>
      </c>
      <c r="K202">
        <v>6.9636363636363603</v>
      </c>
      <c r="L202">
        <v>0.45</v>
      </c>
      <c r="M202">
        <v>2.2222222222222201</v>
      </c>
    </row>
    <row r="203" spans="9:13" x14ac:dyDescent="0.3">
      <c r="I203">
        <v>2011</v>
      </c>
      <c r="J203">
        <v>11</v>
      </c>
      <c r="K203">
        <v>6.8</v>
      </c>
      <c r="L203">
        <v>0.5</v>
      </c>
      <c r="M203">
        <v>2</v>
      </c>
    </row>
    <row r="204" spans="9:13" x14ac:dyDescent="0.3">
      <c r="I204">
        <v>2015</v>
      </c>
      <c r="J204">
        <v>11</v>
      </c>
      <c r="K204">
        <v>6.6909090909090896</v>
      </c>
      <c r="L204">
        <v>0.55000000000000004</v>
      </c>
      <c r="M204">
        <v>1.8181818181818199</v>
      </c>
    </row>
    <row r="205" spans="9:13" x14ac:dyDescent="0.3">
      <c r="I205">
        <v>2021</v>
      </c>
      <c r="J205">
        <v>11</v>
      </c>
      <c r="K205">
        <v>6.6545454545454499</v>
      </c>
      <c r="L205">
        <v>0.6</v>
      </c>
      <c r="M205">
        <v>1.6666666666666701</v>
      </c>
    </row>
    <row r="206" spans="9:13" x14ac:dyDescent="0.3">
      <c r="I206">
        <v>2009</v>
      </c>
      <c r="J206">
        <v>11</v>
      </c>
      <c r="K206">
        <v>6.4</v>
      </c>
      <c r="L206">
        <v>0.65</v>
      </c>
      <c r="M206">
        <v>1.5384615384615401</v>
      </c>
    </row>
    <row r="207" spans="9:13" x14ac:dyDescent="0.3">
      <c r="I207">
        <v>2022</v>
      </c>
      <c r="J207">
        <v>11</v>
      </c>
      <c r="K207">
        <v>6.1272727272727296</v>
      </c>
      <c r="L207">
        <v>0.7</v>
      </c>
      <c r="M207">
        <v>1.4285714285714299</v>
      </c>
    </row>
    <row r="208" spans="9:13" x14ac:dyDescent="0.3">
      <c r="I208">
        <v>2019</v>
      </c>
      <c r="J208">
        <v>11</v>
      </c>
      <c r="K208">
        <v>5.9636363636363603</v>
      </c>
      <c r="L208">
        <v>0.75</v>
      </c>
      <c r="M208">
        <v>1.3333333333333299</v>
      </c>
    </row>
    <row r="209" spans="9:13" x14ac:dyDescent="0.3">
      <c r="I209">
        <v>2007</v>
      </c>
      <c r="J209">
        <v>11</v>
      </c>
      <c r="K209">
        <v>5.9272727272727304</v>
      </c>
      <c r="L209">
        <v>0.8</v>
      </c>
      <c r="M209">
        <v>1.25</v>
      </c>
    </row>
    <row r="210" spans="9:13" x14ac:dyDescent="0.3">
      <c r="I210">
        <v>2010</v>
      </c>
      <c r="J210">
        <v>11</v>
      </c>
      <c r="K210">
        <v>5.6363636363636402</v>
      </c>
      <c r="L210">
        <v>0.85</v>
      </c>
      <c r="M210">
        <v>1.1764705882352899</v>
      </c>
    </row>
    <row r="211" spans="9:13" x14ac:dyDescent="0.3">
      <c r="I211">
        <v>2018</v>
      </c>
      <c r="J211">
        <v>11</v>
      </c>
      <c r="K211">
        <v>5.2363636363636399</v>
      </c>
      <c r="L211">
        <v>0.9</v>
      </c>
      <c r="M211">
        <v>1.1111111111111101</v>
      </c>
    </row>
    <row r="212" spans="9:13" x14ac:dyDescent="0.3">
      <c r="I212">
        <v>2006</v>
      </c>
      <c r="J212">
        <v>11</v>
      </c>
      <c r="K212">
        <v>4.8363636363636404</v>
      </c>
      <c r="L212">
        <v>0.95</v>
      </c>
      <c r="M212">
        <v>1.0526315789473699</v>
      </c>
    </row>
    <row r="213" spans="9:13" x14ac:dyDescent="0.3">
      <c r="I213">
        <v>2024</v>
      </c>
      <c r="J213">
        <v>12</v>
      </c>
      <c r="K213">
        <v>9.06666666666667</v>
      </c>
      <c r="L213">
        <v>0.05</v>
      </c>
      <c r="M213">
        <v>20</v>
      </c>
    </row>
    <row r="214" spans="9:13" x14ac:dyDescent="0.3">
      <c r="I214">
        <v>2008</v>
      </c>
      <c r="J214">
        <v>12</v>
      </c>
      <c r="K214">
        <v>8.9499999999999993</v>
      </c>
      <c r="L214">
        <v>0.1</v>
      </c>
      <c r="M214">
        <v>10</v>
      </c>
    </row>
    <row r="215" spans="9:13" x14ac:dyDescent="0.3">
      <c r="I215">
        <v>2023</v>
      </c>
      <c r="J215">
        <v>12</v>
      </c>
      <c r="K215">
        <v>8.5666666666666593</v>
      </c>
      <c r="L215">
        <v>0.15</v>
      </c>
      <c r="M215">
        <v>6.6666666666666696</v>
      </c>
    </row>
    <row r="216" spans="9:13" x14ac:dyDescent="0.3">
      <c r="I216">
        <v>2013</v>
      </c>
      <c r="J216">
        <v>12</v>
      </c>
      <c r="K216">
        <v>8.31666666666667</v>
      </c>
      <c r="L216">
        <v>0.2</v>
      </c>
      <c r="M216">
        <v>5</v>
      </c>
    </row>
    <row r="217" spans="9:13" x14ac:dyDescent="0.3">
      <c r="I217">
        <v>2014</v>
      </c>
      <c r="J217">
        <v>12</v>
      </c>
      <c r="K217">
        <v>7.93333333333333</v>
      </c>
      <c r="L217">
        <v>0.25</v>
      </c>
      <c r="M217">
        <v>4</v>
      </c>
    </row>
    <row r="218" spans="9:13" x14ac:dyDescent="0.3">
      <c r="I218">
        <v>2025</v>
      </c>
      <c r="J218">
        <v>12</v>
      </c>
      <c r="K218">
        <v>7.43333333333333</v>
      </c>
      <c r="L218">
        <v>0.3</v>
      </c>
      <c r="M218">
        <v>3.3333333333333299</v>
      </c>
    </row>
    <row r="219" spans="9:13" x14ac:dyDescent="0.3">
      <c r="I219">
        <v>2020</v>
      </c>
      <c r="J219">
        <v>12</v>
      </c>
      <c r="K219">
        <v>7.3333333333333304</v>
      </c>
      <c r="L219">
        <v>0.35</v>
      </c>
      <c r="M219">
        <v>2.8571428571428599</v>
      </c>
    </row>
    <row r="220" spans="9:13" x14ac:dyDescent="0.3">
      <c r="I220">
        <v>2017</v>
      </c>
      <c r="J220">
        <v>12</v>
      </c>
      <c r="K220">
        <v>7.0333333333333297</v>
      </c>
      <c r="L220">
        <v>0.4</v>
      </c>
      <c r="M220">
        <v>2.5</v>
      </c>
    </row>
    <row r="221" spans="9:13" x14ac:dyDescent="0.3">
      <c r="I221">
        <v>2015</v>
      </c>
      <c r="J221">
        <v>12</v>
      </c>
      <c r="K221">
        <v>6.45</v>
      </c>
      <c r="L221">
        <v>0.45</v>
      </c>
      <c r="M221">
        <v>2.2222222222222201</v>
      </c>
    </row>
    <row r="222" spans="9:13" x14ac:dyDescent="0.3">
      <c r="I222">
        <v>2012</v>
      </c>
      <c r="J222">
        <v>12</v>
      </c>
      <c r="K222">
        <v>6.4</v>
      </c>
      <c r="L222">
        <v>0.5</v>
      </c>
      <c r="M222">
        <v>2</v>
      </c>
    </row>
    <row r="223" spans="9:13" x14ac:dyDescent="0.3">
      <c r="I223">
        <v>2011</v>
      </c>
      <c r="J223">
        <v>12</v>
      </c>
      <c r="K223">
        <v>6.31666666666667</v>
      </c>
      <c r="L223">
        <v>0.55000000000000004</v>
      </c>
      <c r="M223">
        <v>1.8181818181818199</v>
      </c>
    </row>
    <row r="224" spans="9:13" x14ac:dyDescent="0.3">
      <c r="I224">
        <v>2021</v>
      </c>
      <c r="J224">
        <v>12</v>
      </c>
      <c r="K224">
        <v>6.2833333333333297</v>
      </c>
      <c r="L224">
        <v>0.6</v>
      </c>
      <c r="M224">
        <v>1.6666666666666701</v>
      </c>
    </row>
    <row r="225" spans="9:13" x14ac:dyDescent="0.3">
      <c r="I225">
        <v>2009</v>
      </c>
      <c r="J225">
        <v>12</v>
      </c>
      <c r="K225">
        <v>6.1</v>
      </c>
      <c r="L225">
        <v>0.65</v>
      </c>
      <c r="M225">
        <v>1.5384615384615401</v>
      </c>
    </row>
    <row r="226" spans="9:13" x14ac:dyDescent="0.3">
      <c r="I226">
        <v>2022</v>
      </c>
      <c r="J226">
        <v>12</v>
      </c>
      <c r="K226">
        <v>5.7166666666666703</v>
      </c>
      <c r="L226">
        <v>0.7</v>
      </c>
      <c r="M226">
        <v>1.4285714285714299</v>
      </c>
    </row>
    <row r="227" spans="9:13" x14ac:dyDescent="0.3">
      <c r="I227">
        <v>2019</v>
      </c>
      <c r="J227">
        <v>12</v>
      </c>
      <c r="K227">
        <v>5.7</v>
      </c>
      <c r="L227">
        <v>0.75</v>
      </c>
      <c r="M227">
        <v>1.3333333333333299</v>
      </c>
    </row>
    <row r="228" spans="9:13" x14ac:dyDescent="0.3">
      <c r="I228">
        <v>2007</v>
      </c>
      <c r="J228">
        <v>12</v>
      </c>
      <c r="K228">
        <v>5.45</v>
      </c>
      <c r="L228">
        <v>0.8</v>
      </c>
      <c r="M228">
        <v>1.25</v>
      </c>
    </row>
    <row r="229" spans="9:13" x14ac:dyDescent="0.3">
      <c r="I229">
        <v>2010</v>
      </c>
      <c r="J229">
        <v>12</v>
      </c>
      <c r="K229">
        <v>5.2666666666666702</v>
      </c>
      <c r="L229">
        <v>0.85</v>
      </c>
      <c r="M229">
        <v>1.1764705882352899</v>
      </c>
    </row>
    <row r="230" spans="9:13" x14ac:dyDescent="0.3">
      <c r="I230">
        <v>2018</v>
      </c>
      <c r="J230">
        <v>12</v>
      </c>
      <c r="K230">
        <v>4.8</v>
      </c>
      <c r="L230">
        <v>0.9</v>
      </c>
      <c r="M230">
        <v>1.1111111111111101</v>
      </c>
    </row>
    <row r="231" spans="9:13" x14ac:dyDescent="0.3">
      <c r="I231">
        <v>2006</v>
      </c>
      <c r="J231">
        <v>12</v>
      </c>
      <c r="K231">
        <v>4.5</v>
      </c>
      <c r="L231">
        <v>0.95</v>
      </c>
      <c r="M231">
        <v>1.0526315789473699</v>
      </c>
    </row>
    <row r="232" spans="9:13" x14ac:dyDescent="0.3">
      <c r="I232">
        <v>2008</v>
      </c>
      <c r="J232">
        <v>13</v>
      </c>
      <c r="K232">
        <v>8.7384615384615394</v>
      </c>
      <c r="L232">
        <v>0.05</v>
      </c>
      <c r="M232">
        <v>20</v>
      </c>
    </row>
    <row r="233" spans="9:13" x14ac:dyDescent="0.3">
      <c r="I233">
        <v>2024</v>
      </c>
      <c r="J233">
        <v>13</v>
      </c>
      <c r="K233">
        <v>8.6615384615384592</v>
      </c>
      <c r="L233">
        <v>0.1</v>
      </c>
      <c r="M233">
        <v>10</v>
      </c>
    </row>
    <row r="234" spans="9:13" x14ac:dyDescent="0.3">
      <c r="I234">
        <v>2023</v>
      </c>
      <c r="J234">
        <v>13</v>
      </c>
      <c r="K234">
        <v>8.3846153846153797</v>
      </c>
      <c r="L234">
        <v>0.15</v>
      </c>
      <c r="M234">
        <v>6.6666666666666696</v>
      </c>
    </row>
    <row r="235" spans="9:13" x14ac:dyDescent="0.3">
      <c r="I235">
        <v>2013</v>
      </c>
      <c r="J235">
        <v>13</v>
      </c>
      <c r="K235">
        <v>7.89230769230769</v>
      </c>
      <c r="L235">
        <v>0.2</v>
      </c>
      <c r="M235">
        <v>5</v>
      </c>
    </row>
    <row r="236" spans="9:13" x14ac:dyDescent="0.3">
      <c r="I236">
        <v>2014</v>
      </c>
      <c r="J236">
        <v>13</v>
      </c>
      <c r="K236">
        <v>7.3692307692307697</v>
      </c>
      <c r="L236">
        <v>0.25</v>
      </c>
      <c r="M236">
        <v>4</v>
      </c>
    </row>
    <row r="237" spans="9:13" x14ac:dyDescent="0.3">
      <c r="I237">
        <v>2025</v>
      </c>
      <c r="J237">
        <v>13</v>
      </c>
      <c r="K237">
        <v>7.0461538461538504</v>
      </c>
      <c r="L237">
        <v>0.3</v>
      </c>
      <c r="M237">
        <v>3.3333333333333299</v>
      </c>
    </row>
    <row r="238" spans="9:13" x14ac:dyDescent="0.3">
      <c r="I238">
        <v>2020</v>
      </c>
      <c r="J238">
        <v>13</v>
      </c>
      <c r="K238">
        <v>7</v>
      </c>
      <c r="L238">
        <v>0.35</v>
      </c>
      <c r="M238">
        <v>2.8571428571428599</v>
      </c>
    </row>
    <row r="239" spans="9:13" x14ac:dyDescent="0.3">
      <c r="I239">
        <v>2017</v>
      </c>
      <c r="J239">
        <v>13</v>
      </c>
      <c r="K239">
        <v>6.89230769230769</v>
      </c>
      <c r="L239">
        <v>0.4</v>
      </c>
      <c r="M239">
        <v>2.5</v>
      </c>
    </row>
    <row r="240" spans="9:13" x14ac:dyDescent="0.3">
      <c r="I240">
        <v>2015</v>
      </c>
      <c r="J240">
        <v>13</v>
      </c>
      <c r="K240">
        <v>6.3076923076923102</v>
      </c>
      <c r="L240">
        <v>0.45</v>
      </c>
      <c r="M240">
        <v>2.2222222222222201</v>
      </c>
    </row>
    <row r="241" spans="9:13" x14ac:dyDescent="0.3">
      <c r="I241">
        <v>2021</v>
      </c>
      <c r="J241">
        <v>13</v>
      </c>
      <c r="K241">
        <v>6.1384615384615397</v>
      </c>
      <c r="L241">
        <v>0.5</v>
      </c>
      <c r="M241">
        <v>2</v>
      </c>
    </row>
    <row r="242" spans="9:13" x14ac:dyDescent="0.3">
      <c r="I242">
        <v>2012</v>
      </c>
      <c r="J242">
        <v>13</v>
      </c>
      <c r="K242">
        <v>5.9076923076923098</v>
      </c>
      <c r="L242">
        <v>0.55000000000000004</v>
      </c>
      <c r="M242">
        <v>1.8181818181818199</v>
      </c>
    </row>
    <row r="243" spans="9:13" x14ac:dyDescent="0.3">
      <c r="I243">
        <v>2011</v>
      </c>
      <c r="J243">
        <v>13</v>
      </c>
      <c r="K243">
        <v>5.8615384615384603</v>
      </c>
      <c r="L243">
        <v>0.6</v>
      </c>
      <c r="M243">
        <v>1.6666666666666701</v>
      </c>
    </row>
    <row r="244" spans="9:13" x14ac:dyDescent="0.3">
      <c r="I244">
        <v>2009</v>
      </c>
      <c r="J244">
        <v>13</v>
      </c>
      <c r="K244">
        <v>5.7230769230769196</v>
      </c>
      <c r="L244">
        <v>0.65</v>
      </c>
      <c r="M244">
        <v>1.5384615384615401</v>
      </c>
    </row>
    <row r="245" spans="9:13" x14ac:dyDescent="0.3">
      <c r="I245">
        <v>2019</v>
      </c>
      <c r="J245">
        <v>13</v>
      </c>
      <c r="K245">
        <v>5.5846153846153799</v>
      </c>
      <c r="L245">
        <v>0.7</v>
      </c>
      <c r="M245">
        <v>1.4285714285714299</v>
      </c>
    </row>
    <row r="246" spans="9:13" x14ac:dyDescent="0.3">
      <c r="I246">
        <v>2022</v>
      </c>
      <c r="J246">
        <v>13</v>
      </c>
      <c r="K246">
        <v>5.3076923076923102</v>
      </c>
      <c r="L246">
        <v>0.75</v>
      </c>
      <c r="M246">
        <v>1.3333333333333299</v>
      </c>
    </row>
    <row r="247" spans="9:13" x14ac:dyDescent="0.3">
      <c r="I247">
        <v>2007</v>
      </c>
      <c r="J247">
        <v>13</v>
      </c>
      <c r="K247">
        <v>5.2</v>
      </c>
      <c r="L247">
        <v>0.8</v>
      </c>
      <c r="M247">
        <v>1.25</v>
      </c>
    </row>
    <row r="248" spans="9:13" x14ac:dyDescent="0.3">
      <c r="I248">
        <v>2010</v>
      </c>
      <c r="J248">
        <v>13</v>
      </c>
      <c r="K248">
        <v>4.8615384615384603</v>
      </c>
      <c r="L248">
        <v>0.85</v>
      </c>
      <c r="M248">
        <v>1.1764705882352899</v>
      </c>
    </row>
    <row r="249" spans="9:13" x14ac:dyDescent="0.3">
      <c r="I249">
        <v>2018</v>
      </c>
      <c r="J249">
        <v>13</v>
      </c>
      <c r="K249">
        <v>4.4461538461538499</v>
      </c>
      <c r="L249">
        <v>0.9</v>
      </c>
      <c r="M249">
        <v>1.1111111111111101</v>
      </c>
    </row>
    <row r="250" spans="9:13" x14ac:dyDescent="0.3">
      <c r="I250">
        <v>2006</v>
      </c>
      <c r="J250">
        <v>13</v>
      </c>
      <c r="K250">
        <v>4.2</v>
      </c>
      <c r="L250">
        <v>0.95</v>
      </c>
      <c r="M250">
        <v>1.0526315789473699</v>
      </c>
    </row>
    <row r="251" spans="9:13" x14ac:dyDescent="0.3">
      <c r="I251">
        <v>2008</v>
      </c>
      <c r="J251">
        <v>14</v>
      </c>
      <c r="K251">
        <v>8.6571428571428601</v>
      </c>
      <c r="L251">
        <v>0.05</v>
      </c>
      <c r="M251">
        <v>20</v>
      </c>
    </row>
    <row r="252" spans="9:13" x14ac:dyDescent="0.3">
      <c r="I252">
        <v>2023</v>
      </c>
      <c r="J252">
        <v>14</v>
      </c>
      <c r="K252">
        <v>8.1857142857142904</v>
      </c>
      <c r="L252">
        <v>0.1</v>
      </c>
      <c r="M252">
        <v>10</v>
      </c>
    </row>
    <row r="253" spans="9:13" x14ac:dyDescent="0.3">
      <c r="I253">
        <v>2024</v>
      </c>
      <c r="J253">
        <v>14</v>
      </c>
      <c r="K253">
        <v>8.1285714285714299</v>
      </c>
      <c r="L253">
        <v>0.15</v>
      </c>
      <c r="M253">
        <v>6.6666666666666696</v>
      </c>
    </row>
    <row r="254" spans="9:13" x14ac:dyDescent="0.3">
      <c r="I254">
        <v>2013</v>
      </c>
      <c r="J254">
        <v>14</v>
      </c>
      <c r="K254">
        <v>7.6142857142857103</v>
      </c>
      <c r="L254">
        <v>0.2</v>
      </c>
      <c r="M254">
        <v>5</v>
      </c>
    </row>
    <row r="255" spans="9:13" x14ac:dyDescent="0.3">
      <c r="I255">
        <v>2014</v>
      </c>
      <c r="J255">
        <v>14</v>
      </c>
      <c r="K255">
        <v>6.8428571428571399</v>
      </c>
      <c r="L255">
        <v>0.25</v>
      </c>
      <c r="M255">
        <v>4</v>
      </c>
    </row>
    <row r="256" spans="9:13" x14ac:dyDescent="0.3">
      <c r="I256">
        <v>2020</v>
      </c>
      <c r="J256">
        <v>14</v>
      </c>
      <c r="K256">
        <v>6.7714285714285696</v>
      </c>
      <c r="L256">
        <v>0.3</v>
      </c>
      <c r="M256">
        <v>3.3333333333333299</v>
      </c>
    </row>
    <row r="257" spans="9:13" x14ac:dyDescent="0.3">
      <c r="I257">
        <v>2025</v>
      </c>
      <c r="J257">
        <v>14</v>
      </c>
      <c r="K257">
        <v>6.6</v>
      </c>
      <c r="L257">
        <v>0.35</v>
      </c>
      <c r="M257">
        <v>2.8571428571428599</v>
      </c>
    </row>
    <row r="258" spans="9:13" x14ac:dyDescent="0.3">
      <c r="I258">
        <v>2017</v>
      </c>
      <c r="J258">
        <v>14</v>
      </c>
      <c r="K258">
        <v>6.45714285714286</v>
      </c>
      <c r="L258">
        <v>0.4</v>
      </c>
      <c r="M258">
        <v>2.5</v>
      </c>
    </row>
    <row r="259" spans="9:13" x14ac:dyDescent="0.3">
      <c r="I259">
        <v>2015</v>
      </c>
      <c r="J259">
        <v>14</v>
      </c>
      <c r="K259">
        <v>6.0714285714285703</v>
      </c>
      <c r="L259">
        <v>0.45</v>
      </c>
      <c r="M259">
        <v>2.2222222222222201</v>
      </c>
    </row>
    <row r="260" spans="9:13" x14ac:dyDescent="0.3">
      <c r="I260">
        <v>2021</v>
      </c>
      <c r="J260">
        <v>14</v>
      </c>
      <c r="K260">
        <v>5.7857142857142803</v>
      </c>
      <c r="L260">
        <v>0.5</v>
      </c>
      <c r="M260">
        <v>2</v>
      </c>
    </row>
    <row r="261" spans="9:13" x14ac:dyDescent="0.3">
      <c r="I261">
        <v>2012</v>
      </c>
      <c r="J261">
        <v>14</v>
      </c>
      <c r="K261">
        <v>5.54285714285714</v>
      </c>
      <c r="L261">
        <v>0.55000000000000004</v>
      </c>
      <c r="M261">
        <v>1.8181818181818199</v>
      </c>
    </row>
    <row r="262" spans="9:13" x14ac:dyDescent="0.3">
      <c r="I262">
        <v>2019</v>
      </c>
      <c r="J262">
        <v>14</v>
      </c>
      <c r="K262">
        <v>5.5</v>
      </c>
      <c r="L262">
        <v>0.6</v>
      </c>
      <c r="M262">
        <v>1.6666666666666701</v>
      </c>
    </row>
    <row r="263" spans="9:13" x14ac:dyDescent="0.3">
      <c r="I263">
        <v>2011</v>
      </c>
      <c r="J263">
        <v>14</v>
      </c>
      <c r="K263">
        <v>5.45714285714286</v>
      </c>
      <c r="L263">
        <v>0.65</v>
      </c>
      <c r="M263">
        <v>1.5384615384615401</v>
      </c>
    </row>
    <row r="264" spans="9:13" x14ac:dyDescent="0.3">
      <c r="I264">
        <v>2009</v>
      </c>
      <c r="J264">
        <v>14</v>
      </c>
      <c r="K264">
        <v>5.4142857142857101</v>
      </c>
      <c r="L264">
        <v>0.7</v>
      </c>
      <c r="M264">
        <v>1.4285714285714299</v>
      </c>
    </row>
    <row r="265" spans="9:13" x14ac:dyDescent="0.3">
      <c r="I265">
        <v>2007</v>
      </c>
      <c r="J265">
        <v>14</v>
      </c>
      <c r="K265">
        <v>4.9857142857142902</v>
      </c>
      <c r="L265">
        <v>0.75</v>
      </c>
      <c r="M265">
        <v>1.3333333333333299</v>
      </c>
    </row>
    <row r="266" spans="9:13" x14ac:dyDescent="0.3">
      <c r="I266">
        <v>2022</v>
      </c>
      <c r="J266">
        <v>14</v>
      </c>
      <c r="K266">
        <v>4.9285714285714297</v>
      </c>
      <c r="L266">
        <v>0.8</v>
      </c>
      <c r="M266">
        <v>1.25</v>
      </c>
    </row>
    <row r="267" spans="9:13" x14ac:dyDescent="0.3">
      <c r="I267">
        <v>2010</v>
      </c>
      <c r="J267">
        <v>14</v>
      </c>
      <c r="K267">
        <v>4.6428571428571397</v>
      </c>
      <c r="L267">
        <v>0.85</v>
      </c>
      <c r="M267">
        <v>1.1764705882352899</v>
      </c>
    </row>
    <row r="268" spans="9:13" x14ac:dyDescent="0.3">
      <c r="I268">
        <v>2018</v>
      </c>
      <c r="J268">
        <v>14</v>
      </c>
      <c r="K268">
        <v>4.1285714285714299</v>
      </c>
      <c r="L268">
        <v>0.9</v>
      </c>
      <c r="M268">
        <v>1.1111111111111101</v>
      </c>
    </row>
    <row r="269" spans="9:13" x14ac:dyDescent="0.3">
      <c r="I269">
        <v>2006</v>
      </c>
      <c r="J269">
        <v>14</v>
      </c>
      <c r="K269">
        <v>3.9</v>
      </c>
      <c r="L269">
        <v>0.95</v>
      </c>
      <c r="M269">
        <v>1.0526315789473699</v>
      </c>
    </row>
    <row r="270" spans="9:13" x14ac:dyDescent="0.3">
      <c r="I270">
        <v>2008</v>
      </c>
      <c r="J270">
        <v>15</v>
      </c>
      <c r="K270">
        <v>8.5866666666666696</v>
      </c>
      <c r="L270">
        <v>0.05</v>
      </c>
      <c r="M270">
        <v>20</v>
      </c>
    </row>
    <row r="271" spans="9:13" x14ac:dyDescent="0.3">
      <c r="I271">
        <v>2023</v>
      </c>
      <c r="J271">
        <v>15</v>
      </c>
      <c r="K271">
        <v>8.0266666666666708</v>
      </c>
      <c r="L271">
        <v>0.1</v>
      </c>
      <c r="M271">
        <v>10</v>
      </c>
    </row>
    <row r="272" spans="9:13" x14ac:dyDescent="0.3">
      <c r="I272">
        <v>2024</v>
      </c>
      <c r="J272">
        <v>15</v>
      </c>
      <c r="K272">
        <v>7.8133333333333299</v>
      </c>
      <c r="L272">
        <v>0.15</v>
      </c>
      <c r="M272">
        <v>6.6666666666666696</v>
      </c>
    </row>
    <row r="273" spans="9:13" x14ac:dyDescent="0.3">
      <c r="I273">
        <v>2013</v>
      </c>
      <c r="J273">
        <v>15</v>
      </c>
      <c r="K273">
        <v>7.2933333333333303</v>
      </c>
      <c r="L273">
        <v>0.2</v>
      </c>
      <c r="M273">
        <v>5</v>
      </c>
    </row>
    <row r="274" spans="9:13" x14ac:dyDescent="0.3">
      <c r="I274">
        <v>2020</v>
      </c>
      <c r="J274">
        <v>15</v>
      </c>
      <c r="K274">
        <v>6.52</v>
      </c>
      <c r="L274">
        <v>0.25</v>
      </c>
      <c r="M274">
        <v>4</v>
      </c>
    </row>
    <row r="275" spans="9:13" x14ac:dyDescent="0.3">
      <c r="I275">
        <v>2014</v>
      </c>
      <c r="J275">
        <v>15</v>
      </c>
      <c r="K275">
        <v>6.3866666666666703</v>
      </c>
      <c r="L275">
        <v>0.3</v>
      </c>
      <c r="M275">
        <v>3.3333333333333299</v>
      </c>
    </row>
    <row r="276" spans="9:13" x14ac:dyDescent="0.3">
      <c r="I276">
        <v>2025</v>
      </c>
      <c r="J276">
        <v>15</v>
      </c>
      <c r="K276">
        <v>6.2266666666666701</v>
      </c>
      <c r="L276">
        <v>0.35</v>
      </c>
      <c r="M276">
        <v>2.8571428571428599</v>
      </c>
    </row>
    <row r="277" spans="9:13" x14ac:dyDescent="0.3">
      <c r="I277">
        <v>2017</v>
      </c>
      <c r="J277">
        <v>15</v>
      </c>
      <c r="K277">
        <v>6.0266666666666699</v>
      </c>
      <c r="L277">
        <v>0.4</v>
      </c>
      <c r="M277">
        <v>2.5</v>
      </c>
    </row>
    <row r="278" spans="9:13" x14ac:dyDescent="0.3">
      <c r="I278">
        <v>2015</v>
      </c>
      <c r="J278">
        <v>15</v>
      </c>
      <c r="K278">
        <v>5.7333333333333298</v>
      </c>
      <c r="L278">
        <v>0.45</v>
      </c>
      <c r="M278">
        <v>2.2222222222222201</v>
      </c>
    </row>
    <row r="279" spans="9:13" x14ac:dyDescent="0.3">
      <c r="I279">
        <v>2021</v>
      </c>
      <c r="J279">
        <v>15</v>
      </c>
      <c r="K279">
        <v>5.6266666666666696</v>
      </c>
      <c r="L279">
        <v>0.5</v>
      </c>
      <c r="M279">
        <v>2</v>
      </c>
    </row>
    <row r="280" spans="9:13" x14ac:dyDescent="0.3">
      <c r="I280">
        <v>2019</v>
      </c>
      <c r="J280">
        <v>15</v>
      </c>
      <c r="K280">
        <v>5.4</v>
      </c>
      <c r="L280">
        <v>0.55000000000000004</v>
      </c>
      <c r="M280">
        <v>1.8181818181818199</v>
      </c>
    </row>
    <row r="281" spans="9:13" x14ac:dyDescent="0.3">
      <c r="I281">
        <v>2012</v>
      </c>
      <c r="J281">
        <v>15</v>
      </c>
      <c r="K281">
        <v>5.3733333333333304</v>
      </c>
      <c r="L281">
        <v>0.6</v>
      </c>
      <c r="M281">
        <v>1.6666666666666701</v>
      </c>
    </row>
    <row r="282" spans="9:13" x14ac:dyDescent="0.3">
      <c r="I282">
        <v>2009</v>
      </c>
      <c r="J282">
        <v>15</v>
      </c>
      <c r="K282">
        <v>5.10666666666667</v>
      </c>
      <c r="L282">
        <v>0.65</v>
      </c>
      <c r="M282">
        <v>1.5384615384615401</v>
      </c>
    </row>
    <row r="283" spans="9:13" x14ac:dyDescent="0.3">
      <c r="I283">
        <v>2011</v>
      </c>
      <c r="J283">
        <v>15</v>
      </c>
      <c r="K283">
        <v>5.0933333333333302</v>
      </c>
      <c r="L283">
        <v>0.7</v>
      </c>
      <c r="M283">
        <v>1.4285714285714299</v>
      </c>
    </row>
    <row r="284" spans="9:13" x14ac:dyDescent="0.3">
      <c r="I284">
        <v>2007</v>
      </c>
      <c r="J284">
        <v>15</v>
      </c>
      <c r="K284">
        <v>4.9733333333333301</v>
      </c>
      <c r="L284">
        <v>0.75</v>
      </c>
      <c r="M284">
        <v>1.3333333333333299</v>
      </c>
    </row>
    <row r="285" spans="9:13" x14ac:dyDescent="0.3">
      <c r="I285">
        <v>2022</v>
      </c>
      <c r="J285">
        <v>15</v>
      </c>
      <c r="K285">
        <v>4.5999999999999996</v>
      </c>
      <c r="L285">
        <v>0.8</v>
      </c>
      <c r="M285">
        <v>1.25</v>
      </c>
    </row>
    <row r="286" spans="9:13" x14ac:dyDescent="0.3">
      <c r="I286">
        <v>2010</v>
      </c>
      <c r="J286">
        <v>15</v>
      </c>
      <c r="K286">
        <v>4.5199999999999996</v>
      </c>
      <c r="L286">
        <v>0.85</v>
      </c>
      <c r="M286">
        <v>1.1764705882352899</v>
      </c>
    </row>
    <row r="287" spans="9:13" x14ac:dyDescent="0.3">
      <c r="I287">
        <v>2018</v>
      </c>
      <c r="J287">
        <v>15</v>
      </c>
      <c r="K287">
        <v>3.92</v>
      </c>
      <c r="L287">
        <v>0.9</v>
      </c>
      <c r="M287">
        <v>1.1111111111111101</v>
      </c>
    </row>
    <row r="288" spans="9:13" x14ac:dyDescent="0.3">
      <c r="I288">
        <v>2006</v>
      </c>
      <c r="J288">
        <v>15</v>
      </c>
      <c r="K288">
        <v>3.7866666666666702</v>
      </c>
      <c r="L288">
        <v>0.95</v>
      </c>
      <c r="M288">
        <v>1.0526315789473699</v>
      </c>
    </row>
    <row r="289" spans="9:13" x14ac:dyDescent="0.3">
      <c r="I289">
        <v>2008</v>
      </c>
      <c r="J289">
        <v>16</v>
      </c>
      <c r="K289">
        <v>8.3375000000000004</v>
      </c>
      <c r="L289">
        <v>0.05</v>
      </c>
      <c r="M289">
        <v>20</v>
      </c>
    </row>
    <row r="290" spans="9:13" x14ac:dyDescent="0.3">
      <c r="I290">
        <v>2023</v>
      </c>
      <c r="J290">
        <v>16</v>
      </c>
      <c r="K290">
        <v>7.8375000000000004</v>
      </c>
      <c r="L290">
        <v>0.1</v>
      </c>
      <c r="M290">
        <v>10</v>
      </c>
    </row>
    <row r="291" spans="9:13" x14ac:dyDescent="0.3">
      <c r="I291">
        <v>2024</v>
      </c>
      <c r="J291">
        <v>16</v>
      </c>
      <c r="K291">
        <v>7.625</v>
      </c>
      <c r="L291">
        <v>0.15</v>
      </c>
      <c r="M291">
        <v>6.6666666666666696</v>
      </c>
    </row>
    <row r="292" spans="9:13" x14ac:dyDescent="0.3">
      <c r="I292">
        <v>2013</v>
      </c>
      <c r="J292">
        <v>16</v>
      </c>
      <c r="K292">
        <v>6.95</v>
      </c>
      <c r="L292">
        <v>0.2</v>
      </c>
      <c r="M292">
        <v>5</v>
      </c>
    </row>
    <row r="293" spans="9:13" x14ac:dyDescent="0.3">
      <c r="I293">
        <v>2020</v>
      </c>
      <c r="J293">
        <v>16</v>
      </c>
      <c r="K293">
        <v>6.3250000000000002</v>
      </c>
      <c r="L293">
        <v>0.25</v>
      </c>
      <c r="M293">
        <v>4</v>
      </c>
    </row>
    <row r="294" spans="9:13" x14ac:dyDescent="0.3">
      <c r="I294">
        <v>2014</v>
      </c>
      <c r="J294">
        <v>16</v>
      </c>
      <c r="K294">
        <v>5.9874999999999998</v>
      </c>
      <c r="L294">
        <v>0.3</v>
      </c>
      <c r="M294">
        <v>3.3333333333333299</v>
      </c>
    </row>
    <row r="295" spans="9:13" x14ac:dyDescent="0.3">
      <c r="I295">
        <v>2025</v>
      </c>
      <c r="J295">
        <v>16</v>
      </c>
      <c r="K295">
        <v>5.95</v>
      </c>
      <c r="L295">
        <v>0.35</v>
      </c>
      <c r="M295">
        <v>2.8571428571428599</v>
      </c>
    </row>
    <row r="296" spans="9:13" x14ac:dyDescent="0.3">
      <c r="I296">
        <v>2021</v>
      </c>
      <c r="J296">
        <v>16</v>
      </c>
      <c r="K296">
        <v>5.6749999999999998</v>
      </c>
      <c r="L296">
        <v>0.4</v>
      </c>
      <c r="M296">
        <v>2.5</v>
      </c>
    </row>
    <row r="297" spans="9:13" x14ac:dyDescent="0.3">
      <c r="I297">
        <v>2017</v>
      </c>
      <c r="J297">
        <v>16</v>
      </c>
      <c r="K297">
        <v>5.65</v>
      </c>
      <c r="L297">
        <v>0.45</v>
      </c>
      <c r="M297">
        <v>2.2222222222222201</v>
      </c>
    </row>
    <row r="298" spans="9:13" x14ac:dyDescent="0.3">
      <c r="I298">
        <v>2015</v>
      </c>
      <c r="J298">
        <v>16</v>
      </c>
      <c r="K298">
        <v>5.4124999999999996</v>
      </c>
      <c r="L298">
        <v>0.5</v>
      </c>
      <c r="M298">
        <v>2</v>
      </c>
    </row>
    <row r="299" spans="9:13" x14ac:dyDescent="0.3">
      <c r="I299">
        <v>2019</v>
      </c>
      <c r="J299">
        <v>16</v>
      </c>
      <c r="K299">
        <v>5.2249999999999996</v>
      </c>
      <c r="L299">
        <v>0.55000000000000004</v>
      </c>
      <c r="M299">
        <v>1.8181818181818199</v>
      </c>
    </row>
    <row r="300" spans="9:13" x14ac:dyDescent="0.3">
      <c r="I300">
        <v>2007</v>
      </c>
      <c r="J300">
        <v>16</v>
      </c>
      <c r="K300">
        <v>5.2125000000000004</v>
      </c>
      <c r="L300">
        <v>0.6</v>
      </c>
      <c r="M300">
        <v>1.6666666666666701</v>
      </c>
    </row>
    <row r="301" spans="9:13" x14ac:dyDescent="0.3">
      <c r="I301">
        <v>2012</v>
      </c>
      <c r="J301">
        <v>16</v>
      </c>
      <c r="K301">
        <v>5.15</v>
      </c>
      <c r="L301">
        <v>0.65</v>
      </c>
      <c r="M301">
        <v>1.5384615384615401</v>
      </c>
    </row>
    <row r="302" spans="9:13" x14ac:dyDescent="0.3">
      <c r="I302">
        <v>2009</v>
      </c>
      <c r="J302">
        <v>16</v>
      </c>
      <c r="K302">
        <v>4.8375000000000004</v>
      </c>
      <c r="L302">
        <v>0.7</v>
      </c>
      <c r="M302">
        <v>1.4285714285714299</v>
      </c>
    </row>
    <row r="303" spans="9:13" x14ac:dyDescent="0.3">
      <c r="I303">
        <v>2011</v>
      </c>
      <c r="J303">
        <v>16</v>
      </c>
      <c r="K303">
        <v>4.7750000000000004</v>
      </c>
      <c r="L303">
        <v>0.75</v>
      </c>
      <c r="M303">
        <v>1.3333333333333299</v>
      </c>
    </row>
    <row r="304" spans="9:13" x14ac:dyDescent="0.3">
      <c r="I304">
        <v>2010</v>
      </c>
      <c r="J304">
        <v>16</v>
      </c>
      <c r="K304">
        <v>4.4124999999999996</v>
      </c>
      <c r="L304">
        <v>0.8</v>
      </c>
      <c r="M304">
        <v>1.25</v>
      </c>
    </row>
    <row r="305" spans="9:13" x14ac:dyDescent="0.3">
      <c r="I305">
        <v>2022</v>
      </c>
      <c r="J305">
        <v>16</v>
      </c>
      <c r="K305">
        <v>4.3125</v>
      </c>
      <c r="L305">
        <v>0.85</v>
      </c>
      <c r="M305">
        <v>1.1764705882352899</v>
      </c>
    </row>
    <row r="306" spans="9:13" x14ac:dyDescent="0.3">
      <c r="I306">
        <v>2006</v>
      </c>
      <c r="J306">
        <v>16</v>
      </c>
      <c r="K306">
        <v>3.7749999999999999</v>
      </c>
      <c r="L306">
        <v>0.9</v>
      </c>
      <c r="M306">
        <v>1.1111111111111101</v>
      </c>
    </row>
    <row r="307" spans="9:13" x14ac:dyDescent="0.3">
      <c r="I307">
        <v>2018</v>
      </c>
      <c r="J307">
        <v>16</v>
      </c>
      <c r="K307">
        <v>3.7124999999999999</v>
      </c>
      <c r="L307">
        <v>0.95</v>
      </c>
      <c r="M307">
        <v>1.0526315789473699</v>
      </c>
    </row>
    <row r="308" spans="9:13" x14ac:dyDescent="0.3">
      <c r="I308">
        <v>2008</v>
      </c>
      <c r="J308">
        <v>17</v>
      </c>
      <c r="K308">
        <v>8.0588235294117592</v>
      </c>
      <c r="L308">
        <v>0.05</v>
      </c>
      <c r="M308">
        <v>20</v>
      </c>
    </row>
    <row r="309" spans="9:13" x14ac:dyDescent="0.3">
      <c r="I309">
        <v>2023</v>
      </c>
      <c r="J309">
        <v>17</v>
      </c>
      <c r="K309">
        <v>7.5529411764705898</v>
      </c>
      <c r="L309">
        <v>0.1</v>
      </c>
      <c r="M309">
        <v>10</v>
      </c>
    </row>
    <row r="310" spans="9:13" x14ac:dyDescent="0.3">
      <c r="I310">
        <v>2024</v>
      </c>
      <c r="J310">
        <v>17</v>
      </c>
      <c r="K310">
        <v>7.4235294117647097</v>
      </c>
      <c r="L310">
        <v>0.15</v>
      </c>
      <c r="M310">
        <v>6.6666666666666696</v>
      </c>
    </row>
    <row r="311" spans="9:13" x14ac:dyDescent="0.3">
      <c r="I311">
        <v>2013</v>
      </c>
      <c r="J311">
        <v>17</v>
      </c>
      <c r="K311">
        <v>6.6588235294117704</v>
      </c>
      <c r="L311">
        <v>0.2</v>
      </c>
      <c r="M311">
        <v>5</v>
      </c>
    </row>
    <row r="312" spans="9:13" x14ac:dyDescent="0.3">
      <c r="I312">
        <v>2020</v>
      </c>
      <c r="J312">
        <v>17</v>
      </c>
      <c r="K312">
        <v>6.0705882352941201</v>
      </c>
      <c r="L312">
        <v>0.25</v>
      </c>
      <c r="M312">
        <v>4</v>
      </c>
    </row>
    <row r="313" spans="9:13" x14ac:dyDescent="0.3">
      <c r="I313">
        <v>2021</v>
      </c>
      <c r="J313">
        <v>17</v>
      </c>
      <c r="K313">
        <v>5.7294117647058798</v>
      </c>
      <c r="L313">
        <v>0.3</v>
      </c>
      <c r="M313">
        <v>3.3333333333333299</v>
      </c>
    </row>
    <row r="314" spans="9:13" x14ac:dyDescent="0.3">
      <c r="I314">
        <v>2025</v>
      </c>
      <c r="J314">
        <v>17</v>
      </c>
      <c r="K314">
        <v>5.6705882352941197</v>
      </c>
      <c r="L314">
        <v>0.35</v>
      </c>
      <c r="M314">
        <v>2.8571428571428599</v>
      </c>
    </row>
    <row r="315" spans="9:13" x14ac:dyDescent="0.3">
      <c r="I315">
        <v>2014</v>
      </c>
      <c r="J315">
        <v>17</v>
      </c>
      <c r="K315">
        <v>5.6470588235294104</v>
      </c>
      <c r="L315">
        <v>0.4</v>
      </c>
      <c r="M315">
        <v>2.5</v>
      </c>
    </row>
    <row r="316" spans="9:13" x14ac:dyDescent="0.3">
      <c r="I316">
        <v>2017</v>
      </c>
      <c r="J316">
        <v>17</v>
      </c>
      <c r="K316">
        <v>5.3411764705882403</v>
      </c>
      <c r="L316">
        <v>0.45</v>
      </c>
      <c r="M316">
        <v>2.2222222222222201</v>
      </c>
    </row>
    <row r="317" spans="9:13" x14ac:dyDescent="0.3">
      <c r="I317">
        <v>2015</v>
      </c>
      <c r="J317">
        <v>17</v>
      </c>
      <c r="K317">
        <v>5.1294117647058801</v>
      </c>
      <c r="L317">
        <v>0.5</v>
      </c>
      <c r="M317">
        <v>2</v>
      </c>
    </row>
    <row r="318" spans="9:13" x14ac:dyDescent="0.3">
      <c r="I318">
        <v>2007</v>
      </c>
      <c r="J318">
        <v>17</v>
      </c>
      <c r="K318">
        <v>5.0705882352941201</v>
      </c>
      <c r="L318">
        <v>0.55000000000000004</v>
      </c>
      <c r="M318">
        <v>1.8181818181818199</v>
      </c>
    </row>
    <row r="319" spans="9:13" x14ac:dyDescent="0.3">
      <c r="I319">
        <v>2012</v>
      </c>
      <c r="J319">
        <v>17</v>
      </c>
      <c r="K319">
        <v>4.9529411764705902</v>
      </c>
      <c r="L319">
        <v>0.6</v>
      </c>
      <c r="M319">
        <v>1.6666666666666701</v>
      </c>
    </row>
    <row r="320" spans="9:13" x14ac:dyDescent="0.3">
      <c r="I320">
        <v>2019</v>
      </c>
      <c r="J320">
        <v>17</v>
      </c>
      <c r="K320">
        <v>4.9411764705882399</v>
      </c>
      <c r="L320">
        <v>0.65</v>
      </c>
      <c r="M320">
        <v>1.5384615384615401</v>
      </c>
    </row>
    <row r="321" spans="9:13" x14ac:dyDescent="0.3">
      <c r="I321">
        <v>2009</v>
      </c>
      <c r="J321">
        <v>17</v>
      </c>
      <c r="K321">
        <v>4.5999999999999996</v>
      </c>
      <c r="L321">
        <v>0.7</v>
      </c>
      <c r="M321">
        <v>1.4285714285714299</v>
      </c>
    </row>
    <row r="322" spans="9:13" x14ac:dyDescent="0.3">
      <c r="I322">
        <v>2011</v>
      </c>
      <c r="J322">
        <v>17</v>
      </c>
      <c r="K322">
        <v>4.49411764705882</v>
      </c>
      <c r="L322">
        <v>0.75</v>
      </c>
      <c r="M322">
        <v>1.3333333333333299</v>
      </c>
    </row>
    <row r="323" spans="9:13" x14ac:dyDescent="0.3">
      <c r="I323">
        <v>2010</v>
      </c>
      <c r="J323">
        <v>17</v>
      </c>
      <c r="K323">
        <v>4.3058823529411798</v>
      </c>
      <c r="L323">
        <v>0.8</v>
      </c>
      <c r="M323">
        <v>1.25</v>
      </c>
    </row>
    <row r="324" spans="9:13" x14ac:dyDescent="0.3">
      <c r="I324">
        <v>2022</v>
      </c>
      <c r="J324">
        <v>17</v>
      </c>
      <c r="K324">
        <v>4.0705882352941201</v>
      </c>
      <c r="L324">
        <v>0.85</v>
      </c>
      <c r="M324">
        <v>1.1764705882352899</v>
      </c>
    </row>
    <row r="325" spans="9:13" x14ac:dyDescent="0.3">
      <c r="I325">
        <v>2006</v>
      </c>
      <c r="J325">
        <v>17</v>
      </c>
      <c r="K325">
        <v>3.6588235294117601</v>
      </c>
      <c r="L325">
        <v>0.9</v>
      </c>
      <c r="M325">
        <v>1.1111111111111101</v>
      </c>
    </row>
    <row r="326" spans="9:13" x14ac:dyDescent="0.3">
      <c r="I326">
        <v>2018</v>
      </c>
      <c r="J326">
        <v>17</v>
      </c>
      <c r="K326">
        <v>3.52941176470588</v>
      </c>
      <c r="L326">
        <v>0.95</v>
      </c>
      <c r="M326">
        <v>1.0526315789473699</v>
      </c>
    </row>
    <row r="327" spans="9:13" x14ac:dyDescent="0.3">
      <c r="I327">
        <v>2008</v>
      </c>
      <c r="J327">
        <v>18</v>
      </c>
      <c r="K327">
        <v>7.7888888888888896</v>
      </c>
      <c r="L327">
        <v>0.05</v>
      </c>
      <c r="M327">
        <v>20</v>
      </c>
    </row>
    <row r="328" spans="9:13" x14ac:dyDescent="0.3">
      <c r="I328">
        <v>2023</v>
      </c>
      <c r="J328">
        <v>18</v>
      </c>
      <c r="K328">
        <v>7.2666666666666702</v>
      </c>
      <c r="L328">
        <v>0.1</v>
      </c>
      <c r="M328">
        <v>10</v>
      </c>
    </row>
    <row r="329" spans="9:13" x14ac:dyDescent="0.3">
      <c r="I329">
        <v>2024</v>
      </c>
      <c r="J329">
        <v>18</v>
      </c>
      <c r="K329">
        <v>7.18888888888889</v>
      </c>
      <c r="L329">
        <v>0.15</v>
      </c>
      <c r="M329">
        <v>6.6666666666666696</v>
      </c>
    </row>
    <row r="330" spans="9:13" x14ac:dyDescent="0.3">
      <c r="I330">
        <v>2013</v>
      </c>
      <c r="J330">
        <v>18</v>
      </c>
      <c r="K330">
        <v>6.4</v>
      </c>
      <c r="L330">
        <v>0.2</v>
      </c>
      <c r="M330">
        <v>5</v>
      </c>
    </row>
    <row r="331" spans="9:13" x14ac:dyDescent="0.3">
      <c r="I331">
        <v>2020</v>
      </c>
      <c r="J331">
        <v>18</v>
      </c>
      <c r="K331">
        <v>5.8333333333333304</v>
      </c>
      <c r="L331">
        <v>0.25</v>
      </c>
      <c r="M331">
        <v>4</v>
      </c>
    </row>
    <row r="332" spans="9:13" x14ac:dyDescent="0.3">
      <c r="I332">
        <v>2021</v>
      </c>
      <c r="J332">
        <v>18</v>
      </c>
      <c r="K332">
        <v>5.7222222222222197</v>
      </c>
      <c r="L332">
        <v>0.3</v>
      </c>
      <c r="M332">
        <v>3.3333333333333299</v>
      </c>
    </row>
    <row r="333" spans="9:13" x14ac:dyDescent="0.3">
      <c r="I333">
        <v>2025</v>
      </c>
      <c r="J333">
        <v>18</v>
      </c>
      <c r="K333">
        <v>5.4555555555555504</v>
      </c>
      <c r="L333">
        <v>0.35</v>
      </c>
      <c r="M333">
        <v>2.8571428571428599</v>
      </c>
    </row>
    <row r="334" spans="9:13" x14ac:dyDescent="0.3">
      <c r="I334">
        <v>2014</v>
      </c>
      <c r="J334">
        <v>18</v>
      </c>
      <c r="K334">
        <v>5.3333333333333304</v>
      </c>
      <c r="L334">
        <v>0.4</v>
      </c>
      <c r="M334">
        <v>2.5</v>
      </c>
    </row>
    <row r="335" spans="9:13" x14ac:dyDescent="0.3">
      <c r="I335">
        <v>2017</v>
      </c>
      <c r="J335">
        <v>18</v>
      </c>
      <c r="K335">
        <v>5.06666666666667</v>
      </c>
      <c r="L335">
        <v>0.45</v>
      </c>
      <c r="M335">
        <v>2.2222222222222201</v>
      </c>
    </row>
    <row r="336" spans="9:13" x14ac:dyDescent="0.3">
      <c r="I336">
        <v>2015</v>
      </c>
      <c r="J336">
        <v>18</v>
      </c>
      <c r="K336">
        <v>4.8888888888888902</v>
      </c>
      <c r="L336">
        <v>0.5</v>
      </c>
      <c r="M336">
        <v>2</v>
      </c>
    </row>
    <row r="337" spans="9:13" x14ac:dyDescent="0.3">
      <c r="I337">
        <v>2007</v>
      </c>
      <c r="J337">
        <v>18</v>
      </c>
      <c r="K337">
        <v>4.8555555555555596</v>
      </c>
      <c r="L337">
        <v>0.55000000000000004</v>
      </c>
      <c r="M337">
        <v>1.8181818181818199</v>
      </c>
    </row>
    <row r="338" spans="9:13" x14ac:dyDescent="0.3">
      <c r="I338">
        <v>2012</v>
      </c>
      <c r="J338">
        <v>18</v>
      </c>
      <c r="K338">
        <v>4.7222222222222197</v>
      </c>
      <c r="L338">
        <v>0.6</v>
      </c>
      <c r="M338">
        <v>1.6666666666666701</v>
      </c>
    </row>
    <row r="339" spans="9:13" x14ac:dyDescent="0.3">
      <c r="I339">
        <v>2019</v>
      </c>
      <c r="J339">
        <v>18</v>
      </c>
      <c r="K339">
        <v>4.68888888888889</v>
      </c>
      <c r="L339">
        <v>0.65</v>
      </c>
      <c r="M339">
        <v>1.5384615384615401</v>
      </c>
    </row>
    <row r="340" spans="9:13" x14ac:dyDescent="0.3">
      <c r="I340">
        <v>2009</v>
      </c>
      <c r="J340">
        <v>18</v>
      </c>
      <c r="K340">
        <v>4.3666666666666698</v>
      </c>
      <c r="L340">
        <v>0.7</v>
      </c>
      <c r="M340">
        <v>1.4285714285714299</v>
      </c>
    </row>
    <row r="341" spans="9:13" x14ac:dyDescent="0.3">
      <c r="I341">
        <v>2011</v>
      </c>
      <c r="J341">
        <v>18</v>
      </c>
      <c r="K341">
        <v>4.2444444444444498</v>
      </c>
      <c r="L341">
        <v>0.75</v>
      </c>
      <c r="M341">
        <v>1.3333333333333299</v>
      </c>
    </row>
    <row r="342" spans="9:13" x14ac:dyDescent="0.3">
      <c r="I342">
        <v>2010</v>
      </c>
      <c r="J342">
        <v>18</v>
      </c>
      <c r="K342">
        <v>4.0777777777777802</v>
      </c>
      <c r="L342">
        <v>0.8</v>
      </c>
      <c r="M342">
        <v>1.25</v>
      </c>
    </row>
    <row r="343" spans="9:13" x14ac:dyDescent="0.3">
      <c r="I343">
        <v>2022</v>
      </c>
      <c r="J343">
        <v>18</v>
      </c>
      <c r="K343">
        <v>3.8444444444444499</v>
      </c>
      <c r="L343">
        <v>0.85</v>
      </c>
      <c r="M343">
        <v>1.1764705882352899</v>
      </c>
    </row>
    <row r="344" spans="9:13" x14ac:dyDescent="0.3">
      <c r="I344">
        <v>2006</v>
      </c>
      <c r="J344">
        <v>18</v>
      </c>
      <c r="K344">
        <v>3.5555555555555598</v>
      </c>
      <c r="L344">
        <v>0.9</v>
      </c>
      <c r="M344">
        <v>1.1111111111111101</v>
      </c>
    </row>
    <row r="345" spans="9:13" x14ac:dyDescent="0.3">
      <c r="I345">
        <v>2018</v>
      </c>
      <c r="J345">
        <v>18</v>
      </c>
      <c r="K345">
        <v>3.3333333333333299</v>
      </c>
      <c r="L345">
        <v>0.95</v>
      </c>
      <c r="M345">
        <v>1.0526315789473699</v>
      </c>
    </row>
    <row r="346" spans="9:13" x14ac:dyDescent="0.3">
      <c r="I346">
        <v>2008</v>
      </c>
      <c r="J346">
        <v>19</v>
      </c>
      <c r="K346">
        <v>7.4421052631578899</v>
      </c>
      <c r="L346">
        <v>0.05</v>
      </c>
      <c r="M346">
        <v>20</v>
      </c>
    </row>
    <row r="347" spans="9:13" x14ac:dyDescent="0.3">
      <c r="I347">
        <v>2023</v>
      </c>
      <c r="J347">
        <v>19</v>
      </c>
      <c r="K347">
        <v>7</v>
      </c>
      <c r="L347">
        <v>0.1</v>
      </c>
      <c r="M347">
        <v>10</v>
      </c>
    </row>
    <row r="348" spans="9:13" x14ac:dyDescent="0.3">
      <c r="I348">
        <v>2024</v>
      </c>
      <c r="J348">
        <v>19</v>
      </c>
      <c r="K348">
        <v>6.8105263157894704</v>
      </c>
      <c r="L348">
        <v>0.15</v>
      </c>
      <c r="M348">
        <v>6.6666666666666696</v>
      </c>
    </row>
    <row r="349" spans="9:13" x14ac:dyDescent="0.3">
      <c r="I349">
        <v>2013</v>
      </c>
      <c r="J349">
        <v>19</v>
      </c>
      <c r="K349">
        <v>6.1368421052631597</v>
      </c>
      <c r="L349">
        <v>0.2</v>
      </c>
      <c r="M349">
        <v>5</v>
      </c>
    </row>
    <row r="350" spans="9:13" x14ac:dyDescent="0.3">
      <c r="I350">
        <v>2020</v>
      </c>
      <c r="J350">
        <v>19</v>
      </c>
      <c r="K350">
        <v>5.6210526315789497</v>
      </c>
      <c r="L350">
        <v>0.25</v>
      </c>
      <c r="M350">
        <v>4</v>
      </c>
    </row>
    <row r="351" spans="9:13" x14ac:dyDescent="0.3">
      <c r="I351">
        <v>2021</v>
      </c>
      <c r="J351">
        <v>19</v>
      </c>
      <c r="K351">
        <v>5.5473684210526297</v>
      </c>
      <c r="L351">
        <v>0.3</v>
      </c>
      <c r="M351">
        <v>3.3333333333333299</v>
      </c>
    </row>
    <row r="352" spans="9:13" x14ac:dyDescent="0.3">
      <c r="I352">
        <v>2025</v>
      </c>
      <c r="J352">
        <v>19</v>
      </c>
      <c r="K352">
        <v>5.30526315789474</v>
      </c>
      <c r="L352">
        <v>0.35</v>
      </c>
      <c r="M352">
        <v>2.8571428571428599</v>
      </c>
    </row>
    <row r="353" spans="9:13" x14ac:dyDescent="0.3">
      <c r="I353">
        <v>2014</v>
      </c>
      <c r="J353">
        <v>19</v>
      </c>
      <c r="K353">
        <v>5.1157894736842104</v>
      </c>
      <c r="L353">
        <v>0.4</v>
      </c>
      <c r="M353">
        <v>2.5</v>
      </c>
    </row>
    <row r="354" spans="9:13" x14ac:dyDescent="0.3">
      <c r="I354">
        <v>2017</v>
      </c>
      <c r="J354">
        <v>19</v>
      </c>
      <c r="K354">
        <v>4.8421052631579</v>
      </c>
      <c r="L354">
        <v>0.45</v>
      </c>
      <c r="M354">
        <v>2.2222222222222201</v>
      </c>
    </row>
    <row r="355" spans="9:13" x14ac:dyDescent="0.3">
      <c r="I355">
        <v>2015</v>
      </c>
      <c r="J355">
        <v>19</v>
      </c>
      <c r="K355">
        <v>4.6421052631578901</v>
      </c>
      <c r="L355">
        <v>0.5</v>
      </c>
      <c r="M355">
        <v>2</v>
      </c>
    </row>
    <row r="356" spans="9:13" x14ac:dyDescent="0.3">
      <c r="I356">
        <v>2007</v>
      </c>
      <c r="J356">
        <v>19</v>
      </c>
      <c r="K356">
        <v>4.6315789473684204</v>
      </c>
      <c r="L356">
        <v>0.55000000000000004</v>
      </c>
      <c r="M356">
        <v>1.8181818181818199</v>
      </c>
    </row>
    <row r="357" spans="9:13" x14ac:dyDescent="0.3">
      <c r="I357">
        <v>2012</v>
      </c>
      <c r="J357">
        <v>19</v>
      </c>
      <c r="K357">
        <v>4.5263157894736796</v>
      </c>
      <c r="L357">
        <v>0.6</v>
      </c>
      <c r="M357">
        <v>1.6666666666666701</v>
      </c>
    </row>
    <row r="358" spans="9:13" x14ac:dyDescent="0.3">
      <c r="I358">
        <v>2019</v>
      </c>
      <c r="J358">
        <v>19</v>
      </c>
      <c r="K358">
        <v>4.46315789473684</v>
      </c>
      <c r="L358">
        <v>0.65</v>
      </c>
      <c r="M358">
        <v>1.5384615384615401</v>
      </c>
    </row>
    <row r="359" spans="9:13" x14ac:dyDescent="0.3">
      <c r="I359">
        <v>2009</v>
      </c>
      <c r="J359">
        <v>19</v>
      </c>
      <c r="K359">
        <v>4.1789473684210501</v>
      </c>
      <c r="L359">
        <v>0.7</v>
      </c>
      <c r="M359">
        <v>1.4285714285714299</v>
      </c>
    </row>
    <row r="360" spans="9:13" x14ac:dyDescent="0.3">
      <c r="I360">
        <v>2011</v>
      </c>
      <c r="J360">
        <v>19</v>
      </c>
      <c r="K360">
        <v>4.0631578947368396</v>
      </c>
      <c r="L360">
        <v>0.75</v>
      </c>
      <c r="M360">
        <v>1.3333333333333299</v>
      </c>
    </row>
    <row r="361" spans="9:13" x14ac:dyDescent="0.3">
      <c r="I361">
        <v>2010</v>
      </c>
      <c r="J361">
        <v>19</v>
      </c>
      <c r="K361">
        <v>3.9157894736842098</v>
      </c>
      <c r="L361">
        <v>0.8</v>
      </c>
      <c r="M361">
        <v>1.25</v>
      </c>
    </row>
    <row r="362" spans="9:13" x14ac:dyDescent="0.3">
      <c r="I362">
        <v>2022</v>
      </c>
      <c r="J362">
        <v>19</v>
      </c>
      <c r="K362">
        <v>3.6421052631578998</v>
      </c>
      <c r="L362">
        <v>0.85</v>
      </c>
      <c r="M362">
        <v>1.1764705882352899</v>
      </c>
    </row>
    <row r="363" spans="9:13" x14ac:dyDescent="0.3">
      <c r="I363">
        <v>2006</v>
      </c>
      <c r="J363">
        <v>19</v>
      </c>
      <c r="K363">
        <v>3.3684210526315801</v>
      </c>
      <c r="L363">
        <v>0.9</v>
      </c>
      <c r="M363">
        <v>1.1111111111111101</v>
      </c>
    </row>
    <row r="364" spans="9:13" x14ac:dyDescent="0.3">
      <c r="I364">
        <v>2018</v>
      </c>
      <c r="J364">
        <v>19</v>
      </c>
      <c r="K364">
        <v>3.1578947368421</v>
      </c>
      <c r="L364">
        <v>0.95</v>
      </c>
      <c r="M364">
        <v>1.0526315789473699</v>
      </c>
    </row>
    <row r="365" spans="9:13" x14ac:dyDescent="0.3">
      <c r="I365">
        <v>2008</v>
      </c>
      <c r="J365">
        <v>20</v>
      </c>
      <c r="K365">
        <v>7.1</v>
      </c>
      <c r="L365">
        <v>0.05</v>
      </c>
      <c r="M365">
        <v>20</v>
      </c>
    </row>
    <row r="366" spans="9:13" x14ac:dyDescent="0.3">
      <c r="I366">
        <v>2023</v>
      </c>
      <c r="J366">
        <v>20</v>
      </c>
      <c r="K366">
        <v>6.73</v>
      </c>
      <c r="L366">
        <v>0.1</v>
      </c>
      <c r="M366">
        <v>10</v>
      </c>
    </row>
    <row r="367" spans="9:13" x14ac:dyDescent="0.3">
      <c r="I367">
        <v>2024</v>
      </c>
      <c r="J367">
        <v>20</v>
      </c>
      <c r="K367">
        <v>6.47</v>
      </c>
      <c r="L367">
        <v>0.15</v>
      </c>
      <c r="M367">
        <v>6.6666666666666696</v>
      </c>
    </row>
    <row r="368" spans="9:13" x14ac:dyDescent="0.3">
      <c r="I368">
        <v>2013</v>
      </c>
      <c r="J368">
        <v>20</v>
      </c>
      <c r="K368">
        <v>5.89</v>
      </c>
      <c r="L368">
        <v>0.2</v>
      </c>
      <c r="M368">
        <v>5</v>
      </c>
    </row>
    <row r="369" spans="9:13" x14ac:dyDescent="0.3">
      <c r="I369">
        <v>2020</v>
      </c>
      <c r="J369">
        <v>20</v>
      </c>
      <c r="K369">
        <v>5.52</v>
      </c>
      <c r="L369">
        <v>0.25</v>
      </c>
      <c r="M369">
        <v>4</v>
      </c>
    </row>
    <row r="370" spans="9:13" x14ac:dyDescent="0.3">
      <c r="I370">
        <v>2021</v>
      </c>
      <c r="J370">
        <v>20</v>
      </c>
      <c r="K370">
        <v>5.33</v>
      </c>
      <c r="L370">
        <v>0.3</v>
      </c>
      <c r="M370">
        <v>3.3333333333333299</v>
      </c>
    </row>
    <row r="371" spans="9:13" x14ac:dyDescent="0.3">
      <c r="I371">
        <v>2025</v>
      </c>
      <c r="J371">
        <v>20</v>
      </c>
      <c r="K371">
        <v>5.12</v>
      </c>
      <c r="L371">
        <v>0.35</v>
      </c>
      <c r="M371">
        <v>2.8571428571428599</v>
      </c>
    </row>
    <row r="372" spans="9:13" x14ac:dyDescent="0.3">
      <c r="I372">
        <v>2014</v>
      </c>
      <c r="J372">
        <v>20</v>
      </c>
      <c r="K372">
        <v>5.09</v>
      </c>
      <c r="L372">
        <v>0.4</v>
      </c>
      <c r="M372">
        <v>2.5</v>
      </c>
    </row>
    <row r="373" spans="9:13" x14ac:dyDescent="0.3">
      <c r="I373">
        <v>2017</v>
      </c>
      <c r="J373">
        <v>20</v>
      </c>
      <c r="K373">
        <v>4.5999999999999996</v>
      </c>
      <c r="L373">
        <v>0.45</v>
      </c>
      <c r="M373">
        <v>2.2222222222222201</v>
      </c>
    </row>
    <row r="374" spans="9:13" x14ac:dyDescent="0.3">
      <c r="I374">
        <v>2007</v>
      </c>
      <c r="J374">
        <v>20</v>
      </c>
      <c r="K374">
        <v>4.46</v>
      </c>
      <c r="L374">
        <v>0.5</v>
      </c>
      <c r="M374">
        <v>2</v>
      </c>
    </row>
    <row r="375" spans="9:13" x14ac:dyDescent="0.3">
      <c r="I375">
        <v>2015</v>
      </c>
      <c r="J375">
        <v>20</v>
      </c>
      <c r="K375">
        <v>4.4400000000000004</v>
      </c>
      <c r="L375">
        <v>0.55000000000000004</v>
      </c>
      <c r="M375">
        <v>1.8181818181818199</v>
      </c>
    </row>
    <row r="376" spans="9:13" x14ac:dyDescent="0.3">
      <c r="I376">
        <v>2012</v>
      </c>
      <c r="J376">
        <v>20</v>
      </c>
      <c r="K376">
        <v>4.37</v>
      </c>
      <c r="L376">
        <v>0.6</v>
      </c>
      <c r="M376">
        <v>1.6666666666666701</v>
      </c>
    </row>
    <row r="377" spans="9:13" x14ac:dyDescent="0.3">
      <c r="I377">
        <v>2019</v>
      </c>
      <c r="J377">
        <v>20</v>
      </c>
      <c r="K377">
        <v>4.28</v>
      </c>
      <c r="L377">
        <v>0.65</v>
      </c>
      <c r="M377">
        <v>1.5384615384615401</v>
      </c>
    </row>
    <row r="378" spans="9:13" x14ac:dyDescent="0.3">
      <c r="I378">
        <v>2009</v>
      </c>
      <c r="J378">
        <v>20</v>
      </c>
      <c r="K378">
        <v>4</v>
      </c>
      <c r="L378">
        <v>0.7</v>
      </c>
      <c r="M378">
        <v>1.4285714285714299</v>
      </c>
    </row>
    <row r="379" spans="9:13" x14ac:dyDescent="0.3">
      <c r="I379">
        <v>2011</v>
      </c>
      <c r="J379">
        <v>20</v>
      </c>
      <c r="K379">
        <v>3.93</v>
      </c>
      <c r="L379">
        <v>0.75</v>
      </c>
      <c r="M379">
        <v>1.3333333333333299</v>
      </c>
    </row>
    <row r="380" spans="9:13" x14ac:dyDescent="0.3">
      <c r="I380">
        <v>2010</v>
      </c>
      <c r="J380">
        <v>20</v>
      </c>
      <c r="K380">
        <v>3.81</v>
      </c>
      <c r="L380">
        <v>0.8</v>
      </c>
      <c r="M380">
        <v>1.25</v>
      </c>
    </row>
    <row r="381" spans="9:13" x14ac:dyDescent="0.3">
      <c r="I381">
        <v>2022</v>
      </c>
      <c r="J381">
        <v>20</v>
      </c>
      <c r="K381">
        <v>3.47</v>
      </c>
      <c r="L381">
        <v>0.85</v>
      </c>
      <c r="M381">
        <v>1.1764705882352899</v>
      </c>
    </row>
    <row r="382" spans="9:13" x14ac:dyDescent="0.3">
      <c r="I382">
        <v>2006</v>
      </c>
      <c r="J382">
        <v>20</v>
      </c>
      <c r="K382">
        <v>3.21</v>
      </c>
      <c r="L382">
        <v>0.9</v>
      </c>
      <c r="M382">
        <v>1.1111111111111101</v>
      </c>
    </row>
    <row r="383" spans="9:13" x14ac:dyDescent="0.3">
      <c r="I383">
        <v>2018</v>
      </c>
      <c r="J383">
        <v>20</v>
      </c>
      <c r="K383">
        <v>3</v>
      </c>
      <c r="L383">
        <v>0.95</v>
      </c>
      <c r="M383">
        <v>1.0526315789473699</v>
      </c>
    </row>
    <row r="384" spans="9:13" x14ac:dyDescent="0.3">
      <c r="I384">
        <v>2008</v>
      </c>
      <c r="J384">
        <v>21</v>
      </c>
      <c r="K384">
        <v>6.8190476190476197</v>
      </c>
      <c r="L384">
        <v>0.05</v>
      </c>
      <c r="M384">
        <v>20</v>
      </c>
    </row>
    <row r="385" spans="9:13" x14ac:dyDescent="0.3">
      <c r="I385">
        <v>2023</v>
      </c>
      <c r="J385">
        <v>21</v>
      </c>
      <c r="K385">
        <v>6.5047619047619003</v>
      </c>
      <c r="L385">
        <v>0.1</v>
      </c>
      <c r="M385">
        <v>10</v>
      </c>
    </row>
    <row r="386" spans="9:13" x14ac:dyDescent="0.3">
      <c r="I386">
        <v>2024</v>
      </c>
      <c r="J386">
        <v>21</v>
      </c>
      <c r="K386">
        <v>6.1619047619047604</v>
      </c>
      <c r="L386">
        <v>0.15</v>
      </c>
      <c r="M386">
        <v>6.6666666666666696</v>
      </c>
    </row>
    <row r="387" spans="9:13" x14ac:dyDescent="0.3">
      <c r="I387">
        <v>2013</v>
      </c>
      <c r="J387">
        <v>21</v>
      </c>
      <c r="K387">
        <v>5.8095238095238102</v>
      </c>
      <c r="L387">
        <v>0.2</v>
      </c>
      <c r="M387">
        <v>5</v>
      </c>
    </row>
    <row r="388" spans="9:13" x14ac:dyDescent="0.3">
      <c r="I388">
        <v>2020</v>
      </c>
      <c r="J388">
        <v>21</v>
      </c>
      <c r="K388">
        <v>5.3428571428571399</v>
      </c>
      <c r="L388">
        <v>0.25</v>
      </c>
      <c r="M388">
        <v>4</v>
      </c>
    </row>
    <row r="389" spans="9:13" x14ac:dyDescent="0.3">
      <c r="I389">
        <v>2021</v>
      </c>
      <c r="J389">
        <v>21</v>
      </c>
      <c r="K389">
        <v>5.1047619047618999</v>
      </c>
      <c r="L389">
        <v>0.3</v>
      </c>
      <c r="M389">
        <v>3.3333333333333299</v>
      </c>
    </row>
    <row r="390" spans="9:13" x14ac:dyDescent="0.3">
      <c r="I390">
        <v>2025</v>
      </c>
      <c r="J390">
        <v>21</v>
      </c>
      <c r="K390">
        <v>4.9809523809523801</v>
      </c>
      <c r="L390">
        <v>0.35</v>
      </c>
      <c r="M390">
        <v>2.8571428571428599</v>
      </c>
    </row>
    <row r="391" spans="9:13" x14ac:dyDescent="0.3">
      <c r="I391">
        <v>2014</v>
      </c>
      <c r="J391">
        <v>21</v>
      </c>
      <c r="K391">
        <v>4.8952380952380903</v>
      </c>
      <c r="L391">
        <v>0.4</v>
      </c>
      <c r="M391">
        <v>2.5</v>
      </c>
    </row>
    <row r="392" spans="9:13" x14ac:dyDescent="0.3">
      <c r="I392">
        <v>2007</v>
      </c>
      <c r="J392">
        <v>21</v>
      </c>
      <c r="K392">
        <v>4.45714285714286</v>
      </c>
      <c r="L392">
        <v>0.45</v>
      </c>
      <c r="M392">
        <v>2.2222222222222201</v>
      </c>
    </row>
    <row r="393" spans="9:13" x14ac:dyDescent="0.3">
      <c r="I393">
        <v>2017</v>
      </c>
      <c r="J393">
        <v>21</v>
      </c>
      <c r="K393">
        <v>4.39047619047619</v>
      </c>
      <c r="L393">
        <v>0.5</v>
      </c>
      <c r="M393">
        <v>2</v>
      </c>
    </row>
    <row r="394" spans="9:13" x14ac:dyDescent="0.3">
      <c r="I394">
        <v>2012</v>
      </c>
      <c r="J394">
        <v>21</v>
      </c>
      <c r="K394">
        <v>4.2476190476190503</v>
      </c>
      <c r="L394">
        <v>0.55000000000000004</v>
      </c>
      <c r="M394">
        <v>1.8181818181818199</v>
      </c>
    </row>
    <row r="395" spans="9:13" x14ac:dyDescent="0.3">
      <c r="I395">
        <v>2015</v>
      </c>
      <c r="J395">
        <v>21</v>
      </c>
      <c r="K395">
        <v>4.2285714285714304</v>
      </c>
      <c r="L395">
        <v>0.6</v>
      </c>
      <c r="M395">
        <v>1.6666666666666701</v>
      </c>
    </row>
    <row r="396" spans="9:13" x14ac:dyDescent="0.3">
      <c r="I396">
        <v>2019</v>
      </c>
      <c r="J396">
        <v>21</v>
      </c>
      <c r="K396">
        <v>4.1428571428571397</v>
      </c>
      <c r="L396">
        <v>0.65</v>
      </c>
      <c r="M396">
        <v>1.5384615384615401</v>
      </c>
    </row>
    <row r="397" spans="9:13" x14ac:dyDescent="0.3">
      <c r="I397">
        <v>2011</v>
      </c>
      <c r="J397">
        <v>21</v>
      </c>
      <c r="K397">
        <v>3.8666666666666698</v>
      </c>
      <c r="L397">
        <v>0.7</v>
      </c>
      <c r="M397">
        <v>1.4285714285714299</v>
      </c>
    </row>
    <row r="398" spans="9:13" x14ac:dyDescent="0.3">
      <c r="I398">
        <v>2009</v>
      </c>
      <c r="J398">
        <v>21</v>
      </c>
      <c r="K398">
        <v>3.8190476190476201</v>
      </c>
      <c r="L398">
        <v>0.75</v>
      </c>
      <c r="M398">
        <v>1.3333333333333299</v>
      </c>
    </row>
    <row r="399" spans="9:13" x14ac:dyDescent="0.3">
      <c r="I399">
        <v>2010</v>
      </c>
      <c r="J399">
        <v>21</v>
      </c>
      <c r="K399">
        <v>3.6857142857142802</v>
      </c>
      <c r="L399">
        <v>0.8</v>
      </c>
      <c r="M399">
        <v>1.25</v>
      </c>
    </row>
    <row r="400" spans="9:13" x14ac:dyDescent="0.3">
      <c r="I400">
        <v>2022</v>
      </c>
      <c r="J400">
        <v>21</v>
      </c>
      <c r="K400">
        <v>3.3047619047619099</v>
      </c>
      <c r="L400">
        <v>0.85</v>
      </c>
      <c r="M400">
        <v>1.1764705882352899</v>
      </c>
    </row>
    <row r="401" spans="9:13" x14ac:dyDescent="0.3">
      <c r="I401">
        <v>2006</v>
      </c>
      <c r="J401">
        <v>21</v>
      </c>
      <c r="K401">
        <v>3.1047619047618999</v>
      </c>
      <c r="L401">
        <v>0.9</v>
      </c>
      <c r="M401">
        <v>1.1111111111111101</v>
      </c>
    </row>
    <row r="402" spans="9:13" x14ac:dyDescent="0.3">
      <c r="I402">
        <v>2018</v>
      </c>
      <c r="J402">
        <v>21</v>
      </c>
      <c r="K402">
        <v>2.8571428571428599</v>
      </c>
      <c r="L402">
        <v>0.95</v>
      </c>
      <c r="M402">
        <v>1.0526315789473699</v>
      </c>
    </row>
    <row r="403" spans="9:13" x14ac:dyDescent="0.3">
      <c r="I403">
        <v>2008</v>
      </c>
      <c r="J403">
        <v>22</v>
      </c>
      <c r="K403">
        <v>6.5454545454545503</v>
      </c>
      <c r="L403">
        <v>0.05</v>
      </c>
      <c r="M403">
        <v>20</v>
      </c>
    </row>
    <row r="404" spans="9:13" x14ac:dyDescent="0.3">
      <c r="I404">
        <v>2023</v>
      </c>
      <c r="J404">
        <v>22</v>
      </c>
      <c r="K404">
        <v>6.3636363636363598</v>
      </c>
      <c r="L404">
        <v>0.1</v>
      </c>
      <c r="M404">
        <v>10</v>
      </c>
    </row>
    <row r="405" spans="9:13" x14ac:dyDescent="0.3">
      <c r="I405">
        <v>2024</v>
      </c>
      <c r="J405">
        <v>22</v>
      </c>
      <c r="K405">
        <v>5.8909090909090898</v>
      </c>
      <c r="L405">
        <v>0.15</v>
      </c>
      <c r="M405">
        <v>6.6666666666666696</v>
      </c>
    </row>
    <row r="406" spans="9:13" x14ac:dyDescent="0.3">
      <c r="I406">
        <v>2013</v>
      </c>
      <c r="J406">
        <v>22</v>
      </c>
      <c r="K406">
        <v>5.6090909090909102</v>
      </c>
      <c r="L406">
        <v>0.2</v>
      </c>
      <c r="M406">
        <v>5</v>
      </c>
    </row>
    <row r="407" spans="9:13" x14ac:dyDescent="0.3">
      <c r="I407">
        <v>2020</v>
      </c>
      <c r="J407">
        <v>22</v>
      </c>
      <c r="K407">
        <v>5.1636363636363596</v>
      </c>
      <c r="L407">
        <v>0.25</v>
      </c>
      <c r="M407">
        <v>4</v>
      </c>
    </row>
    <row r="408" spans="9:13" x14ac:dyDescent="0.3">
      <c r="I408">
        <v>2021</v>
      </c>
      <c r="J408">
        <v>22</v>
      </c>
      <c r="K408">
        <v>4.9272727272727304</v>
      </c>
      <c r="L408">
        <v>0.3</v>
      </c>
      <c r="M408">
        <v>3.3333333333333299</v>
      </c>
    </row>
    <row r="409" spans="9:13" x14ac:dyDescent="0.3">
      <c r="I409">
        <v>2025</v>
      </c>
      <c r="J409">
        <v>22</v>
      </c>
      <c r="K409">
        <v>4.8</v>
      </c>
      <c r="L409">
        <v>0.35</v>
      </c>
      <c r="M409">
        <v>2.8571428571428599</v>
      </c>
    </row>
    <row r="410" spans="9:13" x14ac:dyDescent="0.3">
      <c r="I410">
        <v>2014</v>
      </c>
      <c r="J410">
        <v>22</v>
      </c>
      <c r="K410">
        <v>4.7</v>
      </c>
      <c r="L410">
        <v>0.4</v>
      </c>
      <c r="M410">
        <v>2.5</v>
      </c>
    </row>
    <row r="411" spans="9:13" x14ac:dyDescent="0.3">
      <c r="I411">
        <v>2007</v>
      </c>
      <c r="J411">
        <v>22</v>
      </c>
      <c r="K411">
        <v>4.6545454545454499</v>
      </c>
      <c r="L411">
        <v>0.45</v>
      </c>
      <c r="M411">
        <v>2.2222222222222201</v>
      </c>
    </row>
    <row r="412" spans="9:13" x14ac:dyDescent="0.3">
      <c r="I412">
        <v>2017</v>
      </c>
      <c r="J412">
        <v>22</v>
      </c>
      <c r="K412">
        <v>4.1909090909090896</v>
      </c>
      <c r="L412">
        <v>0.5</v>
      </c>
      <c r="M412">
        <v>2</v>
      </c>
    </row>
    <row r="413" spans="9:13" x14ac:dyDescent="0.3">
      <c r="I413">
        <v>2012</v>
      </c>
      <c r="J413">
        <v>22</v>
      </c>
      <c r="K413">
        <v>4.0909090909090899</v>
      </c>
      <c r="L413">
        <v>0.55000000000000004</v>
      </c>
      <c r="M413">
        <v>1.8181818181818199</v>
      </c>
    </row>
    <row r="414" spans="9:13" x14ac:dyDescent="0.3">
      <c r="I414">
        <v>2015</v>
      </c>
      <c r="J414">
        <v>22</v>
      </c>
      <c r="K414">
        <v>4.0818181818181802</v>
      </c>
      <c r="L414">
        <v>0.6</v>
      </c>
      <c r="M414">
        <v>1.6666666666666701</v>
      </c>
    </row>
    <row r="415" spans="9:13" x14ac:dyDescent="0.3">
      <c r="I415">
        <v>2019</v>
      </c>
      <c r="J415">
        <v>22</v>
      </c>
      <c r="K415">
        <v>3.9818181818181801</v>
      </c>
      <c r="L415">
        <v>0.65</v>
      </c>
      <c r="M415">
        <v>1.5384615384615401</v>
      </c>
    </row>
    <row r="416" spans="9:13" x14ac:dyDescent="0.3">
      <c r="I416">
        <v>2011</v>
      </c>
      <c r="J416">
        <v>22</v>
      </c>
      <c r="K416">
        <v>3.71818181818182</v>
      </c>
      <c r="L416">
        <v>0.7</v>
      </c>
      <c r="M416">
        <v>1.4285714285714299</v>
      </c>
    </row>
    <row r="417" spans="9:13" x14ac:dyDescent="0.3">
      <c r="I417">
        <v>2009</v>
      </c>
      <c r="J417">
        <v>22</v>
      </c>
      <c r="K417">
        <v>3.6454545454545499</v>
      </c>
      <c r="L417">
        <v>0.75</v>
      </c>
      <c r="M417">
        <v>1.3333333333333299</v>
      </c>
    </row>
    <row r="418" spans="9:13" x14ac:dyDescent="0.3">
      <c r="I418">
        <v>2010</v>
      </c>
      <c r="J418">
        <v>22</v>
      </c>
      <c r="K418">
        <v>3.5545454545454498</v>
      </c>
      <c r="L418">
        <v>0.8</v>
      </c>
      <c r="M418">
        <v>1.25</v>
      </c>
    </row>
    <row r="419" spans="9:13" x14ac:dyDescent="0.3">
      <c r="I419">
        <v>2022</v>
      </c>
      <c r="J419">
        <v>22</v>
      </c>
      <c r="K419">
        <v>3.16363636363636</v>
      </c>
      <c r="L419">
        <v>0.85</v>
      </c>
      <c r="M419">
        <v>1.1764705882352899</v>
      </c>
    </row>
    <row r="420" spans="9:13" x14ac:dyDescent="0.3">
      <c r="I420">
        <v>2006</v>
      </c>
      <c r="J420">
        <v>22</v>
      </c>
      <c r="K420">
        <v>2.9818181818181801</v>
      </c>
      <c r="L420">
        <v>0.9</v>
      </c>
      <c r="M420">
        <v>1.1111111111111101</v>
      </c>
    </row>
    <row r="421" spans="9:13" x14ac:dyDescent="0.3">
      <c r="I421">
        <v>2018</v>
      </c>
      <c r="J421">
        <v>22</v>
      </c>
      <c r="K421">
        <v>2.8</v>
      </c>
      <c r="L421">
        <v>0.95</v>
      </c>
      <c r="M421">
        <v>1.0526315789473699</v>
      </c>
    </row>
    <row r="422" spans="9:13" x14ac:dyDescent="0.3">
      <c r="I422">
        <v>2008</v>
      </c>
      <c r="J422">
        <v>23</v>
      </c>
      <c r="K422">
        <v>6.29565217391304</v>
      </c>
      <c r="L422">
        <v>0.05</v>
      </c>
      <c r="M422">
        <v>20</v>
      </c>
    </row>
    <row r="423" spans="9:13" x14ac:dyDescent="0.3">
      <c r="I423">
        <v>2023</v>
      </c>
      <c r="J423">
        <v>23</v>
      </c>
      <c r="K423">
        <v>6.1913043478260903</v>
      </c>
      <c r="L423">
        <v>0.1</v>
      </c>
      <c r="M423">
        <v>10</v>
      </c>
    </row>
    <row r="424" spans="9:13" x14ac:dyDescent="0.3">
      <c r="I424">
        <v>2024</v>
      </c>
      <c r="J424">
        <v>23</v>
      </c>
      <c r="K424">
        <v>5.6347826086956498</v>
      </c>
      <c r="L424">
        <v>0.15</v>
      </c>
      <c r="M424">
        <v>6.6666666666666696</v>
      </c>
    </row>
    <row r="425" spans="9:13" x14ac:dyDescent="0.3">
      <c r="I425">
        <v>2013</v>
      </c>
      <c r="J425">
        <v>23</v>
      </c>
      <c r="K425">
        <v>5.4086956521739102</v>
      </c>
      <c r="L425">
        <v>0.2</v>
      </c>
      <c r="M425">
        <v>5</v>
      </c>
    </row>
    <row r="426" spans="9:13" x14ac:dyDescent="0.3">
      <c r="I426">
        <v>2020</v>
      </c>
      <c r="J426">
        <v>23</v>
      </c>
      <c r="K426">
        <v>4.9565217391304301</v>
      </c>
      <c r="L426">
        <v>0.25</v>
      </c>
      <c r="M426">
        <v>4</v>
      </c>
    </row>
    <row r="427" spans="9:13" x14ac:dyDescent="0.3">
      <c r="I427">
        <v>2025</v>
      </c>
      <c r="J427">
        <v>23</v>
      </c>
      <c r="K427">
        <v>4.75652173913043</v>
      </c>
      <c r="L427">
        <v>0.3</v>
      </c>
      <c r="M427">
        <v>3.3333333333333299</v>
      </c>
    </row>
    <row r="428" spans="9:13" x14ac:dyDescent="0.3">
      <c r="I428">
        <v>2021</v>
      </c>
      <c r="J428">
        <v>23</v>
      </c>
      <c r="K428">
        <v>4.75652173913043</v>
      </c>
      <c r="L428">
        <v>0.35</v>
      </c>
      <c r="M428">
        <v>2.8571428571428599</v>
      </c>
    </row>
    <row r="429" spans="9:13" x14ac:dyDescent="0.3">
      <c r="I429">
        <v>2007</v>
      </c>
      <c r="J429">
        <v>23</v>
      </c>
      <c r="K429">
        <v>4.5739130434782602</v>
      </c>
      <c r="L429">
        <v>0.4</v>
      </c>
      <c r="M429">
        <v>2.5</v>
      </c>
    </row>
    <row r="430" spans="9:13" x14ac:dyDescent="0.3">
      <c r="I430">
        <v>2014</v>
      </c>
      <c r="J430">
        <v>23</v>
      </c>
      <c r="K430">
        <v>4.5043478260869598</v>
      </c>
      <c r="L430">
        <v>0.45</v>
      </c>
      <c r="M430">
        <v>2.2222222222222201</v>
      </c>
    </row>
    <row r="431" spans="9:13" x14ac:dyDescent="0.3">
      <c r="I431">
        <v>2012</v>
      </c>
      <c r="J431">
        <v>23</v>
      </c>
      <c r="K431">
        <v>4.1043478260869604</v>
      </c>
      <c r="L431">
        <v>0.5</v>
      </c>
      <c r="M431">
        <v>2</v>
      </c>
    </row>
    <row r="432" spans="9:13" x14ac:dyDescent="0.3">
      <c r="I432">
        <v>2017</v>
      </c>
      <c r="J432">
        <v>23</v>
      </c>
      <c r="K432">
        <v>4.0086956521739099</v>
      </c>
      <c r="L432">
        <v>0.55000000000000004</v>
      </c>
      <c r="M432">
        <v>1.8181818181818199</v>
      </c>
    </row>
    <row r="433" spans="9:13" x14ac:dyDescent="0.3">
      <c r="I433">
        <v>2015</v>
      </c>
      <c r="J433">
        <v>23</v>
      </c>
      <c r="K433">
        <v>3.9478260869565198</v>
      </c>
      <c r="L433">
        <v>0.6</v>
      </c>
      <c r="M433">
        <v>1.6666666666666701</v>
      </c>
    </row>
    <row r="434" spans="9:13" x14ac:dyDescent="0.3">
      <c r="I434">
        <v>2019</v>
      </c>
      <c r="J434">
        <v>23</v>
      </c>
      <c r="K434">
        <v>3.8260869565217401</v>
      </c>
      <c r="L434">
        <v>0.65</v>
      </c>
      <c r="M434">
        <v>1.5384615384615401</v>
      </c>
    </row>
    <row r="435" spans="9:13" x14ac:dyDescent="0.3">
      <c r="I435">
        <v>2011</v>
      </c>
      <c r="J435">
        <v>23</v>
      </c>
      <c r="K435">
        <v>3.6347826086956498</v>
      </c>
      <c r="L435">
        <v>0.7</v>
      </c>
      <c r="M435">
        <v>1.4285714285714299</v>
      </c>
    </row>
    <row r="436" spans="9:13" x14ac:dyDescent="0.3">
      <c r="I436">
        <v>2009</v>
      </c>
      <c r="J436">
        <v>23</v>
      </c>
      <c r="K436">
        <v>3.5043478260869598</v>
      </c>
      <c r="L436">
        <v>0.75</v>
      </c>
      <c r="M436">
        <v>1.3333333333333299</v>
      </c>
    </row>
    <row r="437" spans="9:13" x14ac:dyDescent="0.3">
      <c r="I437">
        <v>2010</v>
      </c>
      <c r="J437">
        <v>23</v>
      </c>
      <c r="K437">
        <v>3.4260869565217398</v>
      </c>
      <c r="L437">
        <v>0.8</v>
      </c>
      <c r="M437">
        <v>1.25</v>
      </c>
    </row>
    <row r="438" spans="9:13" x14ac:dyDescent="0.3">
      <c r="I438">
        <v>2022</v>
      </c>
      <c r="J438">
        <v>23</v>
      </c>
      <c r="K438">
        <v>3.0260869565217399</v>
      </c>
      <c r="L438">
        <v>0.85</v>
      </c>
      <c r="M438">
        <v>1.1764705882352899</v>
      </c>
    </row>
    <row r="439" spans="9:13" x14ac:dyDescent="0.3">
      <c r="I439">
        <v>2006</v>
      </c>
      <c r="J439">
        <v>23</v>
      </c>
      <c r="K439">
        <v>2.85217391304348</v>
      </c>
      <c r="L439">
        <v>0.9</v>
      </c>
      <c r="M439">
        <v>1.1111111111111101</v>
      </c>
    </row>
    <row r="440" spans="9:13" x14ac:dyDescent="0.3">
      <c r="I440">
        <v>2018</v>
      </c>
      <c r="J440">
        <v>23</v>
      </c>
      <c r="K440">
        <v>2.68695652173913</v>
      </c>
      <c r="L440">
        <v>0.95</v>
      </c>
      <c r="M440">
        <v>1.0526315789473699</v>
      </c>
    </row>
    <row r="441" spans="9:13" x14ac:dyDescent="0.3">
      <c r="I441">
        <v>2008</v>
      </c>
      <c r="J441">
        <v>24</v>
      </c>
      <c r="K441">
        <v>6.05</v>
      </c>
      <c r="L441">
        <v>0.05</v>
      </c>
      <c r="M441">
        <v>20</v>
      </c>
    </row>
    <row r="442" spans="9:13" x14ac:dyDescent="0.3">
      <c r="I442">
        <v>2023</v>
      </c>
      <c r="J442">
        <v>24</v>
      </c>
      <c r="K442">
        <v>6.0166666666666702</v>
      </c>
      <c r="L442">
        <v>0.1</v>
      </c>
      <c r="M442">
        <v>10</v>
      </c>
    </row>
    <row r="443" spans="9:13" x14ac:dyDescent="0.3">
      <c r="I443">
        <v>2024</v>
      </c>
      <c r="J443">
        <v>24</v>
      </c>
      <c r="K443">
        <v>5.4</v>
      </c>
      <c r="L443">
        <v>0.15</v>
      </c>
      <c r="M443">
        <v>6.6666666666666696</v>
      </c>
    </row>
    <row r="444" spans="9:13" x14ac:dyDescent="0.3">
      <c r="I444">
        <v>2013</v>
      </c>
      <c r="J444">
        <v>24</v>
      </c>
      <c r="K444">
        <v>5.2666666666666702</v>
      </c>
      <c r="L444">
        <v>0.2</v>
      </c>
      <c r="M444">
        <v>5</v>
      </c>
    </row>
    <row r="445" spans="9:13" x14ac:dyDescent="0.3">
      <c r="I445">
        <v>2020</v>
      </c>
      <c r="J445">
        <v>24</v>
      </c>
      <c r="K445">
        <v>4.875</v>
      </c>
      <c r="L445">
        <v>0.25</v>
      </c>
      <c r="M445">
        <v>4</v>
      </c>
    </row>
    <row r="446" spans="9:13" x14ac:dyDescent="0.3">
      <c r="I446">
        <v>2025</v>
      </c>
      <c r="J446">
        <v>24</v>
      </c>
      <c r="K446">
        <v>4.8250000000000002</v>
      </c>
      <c r="L446">
        <v>0.3</v>
      </c>
      <c r="M446">
        <v>3.3333333333333299</v>
      </c>
    </row>
    <row r="447" spans="9:13" x14ac:dyDescent="0.3">
      <c r="I447">
        <v>2021</v>
      </c>
      <c r="J447">
        <v>24</v>
      </c>
      <c r="K447">
        <v>4.56666666666667</v>
      </c>
      <c r="L447">
        <v>0.35</v>
      </c>
      <c r="M447">
        <v>2.8571428571428599</v>
      </c>
    </row>
    <row r="448" spans="9:13" x14ac:dyDescent="0.3">
      <c r="I448">
        <v>2007</v>
      </c>
      <c r="J448">
        <v>24</v>
      </c>
      <c r="K448">
        <v>4.4583333333333304</v>
      </c>
      <c r="L448">
        <v>0.4</v>
      </c>
      <c r="M448">
        <v>2.5</v>
      </c>
    </row>
    <row r="449" spans="9:13" x14ac:dyDescent="0.3">
      <c r="I449">
        <v>2014</v>
      </c>
      <c r="J449">
        <v>24</v>
      </c>
      <c r="K449">
        <v>4.31666666666667</v>
      </c>
      <c r="L449">
        <v>0.45</v>
      </c>
      <c r="M449">
        <v>2.2222222222222201</v>
      </c>
    </row>
    <row r="450" spans="9:13" x14ac:dyDescent="0.3">
      <c r="I450">
        <v>2012</v>
      </c>
      <c r="J450">
        <v>24</v>
      </c>
      <c r="K450">
        <v>4.1166666666666698</v>
      </c>
      <c r="L450">
        <v>0.5</v>
      </c>
      <c r="M450">
        <v>2</v>
      </c>
    </row>
    <row r="451" spans="9:13" x14ac:dyDescent="0.3">
      <c r="I451">
        <v>2015</v>
      </c>
      <c r="J451">
        <v>24</v>
      </c>
      <c r="K451">
        <v>3.9249999999999998</v>
      </c>
      <c r="L451">
        <v>0.55000000000000004</v>
      </c>
      <c r="M451">
        <v>1.8181818181818199</v>
      </c>
    </row>
    <row r="452" spans="9:13" x14ac:dyDescent="0.3">
      <c r="I452">
        <v>2017</v>
      </c>
      <c r="J452">
        <v>24</v>
      </c>
      <c r="K452">
        <v>3.8416666666666699</v>
      </c>
      <c r="L452">
        <v>0.6</v>
      </c>
      <c r="M452">
        <v>1.6666666666666701</v>
      </c>
    </row>
    <row r="453" spans="9:13" x14ac:dyDescent="0.3">
      <c r="I453">
        <v>2019</v>
      </c>
      <c r="J453">
        <v>24</v>
      </c>
      <c r="K453">
        <v>3.7666666666666702</v>
      </c>
      <c r="L453">
        <v>0.65</v>
      </c>
      <c r="M453">
        <v>1.5384615384615401</v>
      </c>
    </row>
    <row r="454" spans="9:13" x14ac:dyDescent="0.3">
      <c r="I454">
        <v>2011</v>
      </c>
      <c r="J454">
        <v>24</v>
      </c>
      <c r="K454">
        <v>3.5249999999999999</v>
      </c>
      <c r="L454">
        <v>0.7</v>
      </c>
      <c r="M454">
        <v>1.4285714285714299</v>
      </c>
    </row>
    <row r="455" spans="9:13" x14ac:dyDescent="0.3">
      <c r="I455">
        <v>2009</v>
      </c>
      <c r="J455">
        <v>24</v>
      </c>
      <c r="K455">
        <v>3.44166666666667</v>
      </c>
      <c r="L455">
        <v>0.75</v>
      </c>
      <c r="M455">
        <v>1.3333333333333299</v>
      </c>
    </row>
    <row r="456" spans="9:13" x14ac:dyDescent="0.3">
      <c r="I456">
        <v>2010</v>
      </c>
      <c r="J456">
        <v>24</v>
      </c>
      <c r="K456">
        <v>3.35</v>
      </c>
      <c r="L456">
        <v>0.8</v>
      </c>
      <c r="M456">
        <v>1.25</v>
      </c>
    </row>
    <row r="457" spans="9:13" x14ac:dyDescent="0.3">
      <c r="I457">
        <v>2022</v>
      </c>
      <c r="J457">
        <v>24</v>
      </c>
      <c r="K457">
        <v>2.9083333333333301</v>
      </c>
      <c r="L457">
        <v>0.85</v>
      </c>
      <c r="M457">
        <v>1.1764705882352899</v>
      </c>
    </row>
    <row r="458" spans="9:13" x14ac:dyDescent="0.3">
      <c r="I458">
        <v>2006</v>
      </c>
      <c r="J458">
        <v>24</v>
      </c>
      <c r="K458">
        <v>2.7333333333333298</v>
      </c>
      <c r="L458">
        <v>0.9</v>
      </c>
      <c r="M458">
        <v>1.1111111111111101</v>
      </c>
    </row>
    <row r="459" spans="9:13" x14ac:dyDescent="0.3">
      <c r="I459">
        <v>2018</v>
      </c>
      <c r="J459">
        <v>24</v>
      </c>
      <c r="K459">
        <v>2.5916666666666699</v>
      </c>
      <c r="L459">
        <v>0.95</v>
      </c>
      <c r="M459">
        <v>1.0526315789473699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Antonio</dc:creator>
  <cp:lastModifiedBy>Tomás Antonio</cp:lastModifiedBy>
  <dcterms:created xsi:type="dcterms:W3CDTF">2026-08-05T01:41:33Z</dcterms:created>
  <dcterms:modified xsi:type="dcterms:W3CDTF">2026-08-05T02:44:00Z</dcterms:modified>
</cp:coreProperties>
</file>